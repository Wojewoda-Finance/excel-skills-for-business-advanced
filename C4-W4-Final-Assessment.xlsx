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3"/>
    <sheet name="Cal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<sst xmlns="http://schemas.openxmlformats.org/spreadsheetml/2006/main" count="70" uniqueCount="56">
  <si>
    <t xml:space="preserve">Excel Skills for Business: Advanced</t>
  </si>
  <si>
    <t xml:space="preserve">Week 4: Finance Functions and Working with Dates</t>
  </si>
  <si>
    <t xml:space="preserve">Final Assessment</t>
  </si>
  <si>
    <t xml:space="preserve">Week 4: Learning Objectives</t>
  </si>
  <si>
    <t xml:space="preserve">Use the following functionalities in Excel for Finance Functions and Working with Dates:
Apply date formulas in calculations
Use financial functions in calculations
Create a loan schedule with financial functions
Use depreciation functions</t>
  </si>
  <si>
    <t xml:space="preserve">Section 1 - Dates</t>
  </si>
  <si>
    <t xml:space="preserve">Question 1</t>
  </si>
  <si>
    <t xml:space="preserve">Check Sum</t>
  </si>
  <si>
    <t xml:space="preserve">Original Date</t>
  </si>
  <si>
    <t xml:space="preserve">End of Quarter Date</t>
  </si>
  <si>
    <t xml:space="preserve">Helper cells (if needed)</t>
  </si>
  <si>
    <t xml:space="preserve">Question 2</t>
  </si>
  <si>
    <t xml:space="preserve">Previous End of Quarter Date</t>
  </si>
  <si>
    <t xml:space="preserve">Section 2 - Loan Schedules</t>
  </si>
  <si>
    <t xml:space="preserve">Interest Rate</t>
  </si>
  <si>
    <t xml:space="preserve">Questions 3 to 7</t>
  </si>
  <si>
    <t xml:space="preserve">Payment amount</t>
  </si>
  <si>
    <t xml:space="preserve">Period</t>
  </si>
  <si>
    <t xml:space="preserve">Payment Date
(End of Period)</t>
  </si>
  <si>
    <t xml:space="preserve">Opening Balance</t>
  </si>
  <si>
    <t xml:space="preserve">Drawdown</t>
  </si>
  <si>
    <t xml:space="preserve">Interest</t>
  </si>
  <si>
    <t xml:space="preserve">Scheduled Payment</t>
  </si>
  <si>
    <t xml:space="preserve">Additional Payment</t>
  </si>
  <si>
    <t xml:space="preserve">Closing Balance</t>
  </si>
  <si>
    <t xml:space="preserve">Totals</t>
  </si>
  <si>
    <t xml:space="preserve">Section 3 - Net Present Values and Internal Rates of Return</t>
  </si>
  <si>
    <t xml:space="preserve">Questions 8 to 10</t>
  </si>
  <si>
    <t xml:space="preserve">Payment amount per month</t>
  </si>
  <si>
    <t xml:space="preserve">Cashflow</t>
  </si>
  <si>
    <t xml:space="preserve">Question 9</t>
  </si>
  <si>
    <t xml:space="preserve">Internal Rate of Return (Monthly)</t>
  </si>
  <si>
    <t xml:space="preserve">Internal Rate of Return (Annualised)</t>
  </si>
  <si>
    <t xml:space="preserve">Question 8</t>
  </si>
  <si>
    <t xml:space="preserve">Net Present Value at Bank Discount rate</t>
  </si>
  <si>
    <t xml:space="preserve">Question 10</t>
  </si>
  <si>
    <t xml:space="preserve">Bank Discount Rate (Annualised)</t>
  </si>
  <si>
    <t xml:space="preserve">Section 4 - Depreciation</t>
  </si>
  <si>
    <t xml:space="preserve">Questions 11 to 12</t>
  </si>
  <si>
    <t xml:space="preserve">Assumptions</t>
  </si>
  <si>
    <t xml:space="preserve">Initial Asset Balance</t>
  </si>
  <si>
    <t xml:space="preserve">Life of Assets (years)</t>
  </si>
  <si>
    <t xml:space="preserve">DDB Factor (multiple)</t>
  </si>
  <si>
    <t xml:space="preserve">Salvage Value</t>
  </si>
  <si>
    <t xml:space="preserve">Method 1: Using DDB function</t>
  </si>
  <si>
    <t xml:space="preserve">Asset Base - Account Balance</t>
  </si>
  <si>
    <t xml:space="preserve">Year Number</t>
  </si>
  <si>
    <t xml:space="preserve">Depreciation in year</t>
  </si>
  <si>
    <t xml:space="preserve">Sum of depreciation in years 10 to 15</t>
  </si>
  <si>
    <t xml:space="preserve">Question 11</t>
  </si>
  <si>
    <t xml:space="preserve">Method 2: First Principles</t>
  </si>
  <si>
    <t xml:space="preserve">Addition to Asset Base</t>
  </si>
  <si>
    <t xml:space="preserve">Year of Addition (at end of specified year)</t>
  </si>
  <si>
    <t xml:space="preserve">Additions in year</t>
  </si>
  <si>
    <t xml:space="preserve">Question 12</t>
  </si>
  <si>
    <t xml:space="preserve">End of Assignment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</si>
</sst>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General"/>
    <numFmt numFmtId="167" formatCode="dd\-mmm\-yy"/>
    <numFmt numFmtId="168" formatCode="0.00%"/>
    <numFmt numFmtId="169" formatCode="_(* #,##0.00_);_(* \(#,##0.00\);_(* \-??_);_(@_)"/>
    <numFmt numFmtId="170" formatCode="#,##0.00"/>
    <numFmt numFmtId="171" formatCode="#,##0.00_ ;\-#,##0.00\ "/>
    <numFmt numFmtId="172" formatCode="0.0000%"/>
    <numFmt numFmtId="173" formatCode="#,##0_ ;\-#,##0\ 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color theme="1"/>
      <name val="Arial"/>
      <family val="2"/>
      <charset val="1"/>
    </font>
    <font>
      <sz val="24"/>
      <color theme="1"/>
      <name val="Arial"/>
      <family val="2"/>
      <charset val="1"/>
    </font>
    <font>
      <b val="true"/>
      <i val="true"/>
      <sz val="24"/>
      <color theme="1"/>
      <name val="Calibri Light"/>
      <family val="2"/>
      <charset val="1"/>
    </font>
    <font>
      <b val="true"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name val="Calibri"/>
      <family val="2"/>
      <charset val="1"/>
    </font>
    <font>
      <i val="true"/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002060"/>
        <bgColor rgb="FF00008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ck">
        <color theme="1"/>
      </top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thin">
        <color rgb="FF7F7F7F"/>
      </left>
      <right style="thin">
        <color rgb="FF7F7F7F"/>
      </right>
      <top style="thin"/>
      <bottom style="thin">
        <color rgb="FF7F7F7F"/>
      </bottom>
      <diagonal/>
    </border>
    <border diagonalUp="false" diagonalDown="false">
      <left style="thin">
        <color rgb="FF7F7F7F"/>
      </left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2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0" fillId="0" borderId="1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1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6</xdr:col>
      <xdr:colOff>35640</xdr:colOff>
      <xdr:row>5</xdr:row>
      <xdr:rowOff>270360</xdr:rowOff>
    </xdr:to>
    <xdr:pic>
      <xdr:nvPicPr>
        <xdr:cNvPr id="0" name="Picture 1" descr=""/>
        <xdr:cNvPicPr/>
      </xdr:nvPicPr>
      <xdr:blipFill>
        <a:blip r:embed="rId1"/>
        <a:srcRect l="0" t="7091" r="0" b="0"/>
        <a:stretch/>
      </xdr:blipFill>
      <xdr:spPr>
        <a:xfrm>
          <a:off x="0" y="0"/>
          <a:ext cx="4983480" cy="1641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9.88671875" defaultRowHeight="14.25" zeroHeight="false" outlineLevelRow="0" outlineLevelCol="0"/>
  <cols>
    <col collapsed="false" customWidth="false" hidden="false" outlineLevel="0" max="1" min="1" style="1" width="9.88"/>
    <col collapsed="false" customWidth="true" hidden="false" outlineLevel="0" max="2" min="2" style="2" width="12"/>
    <col collapsed="false" customWidth="true" hidden="false" outlineLevel="0" max="3" min="3" style="2" width="15.88"/>
    <col collapsed="false" customWidth="true" hidden="false" outlineLevel="0" max="4" min="4" style="2" width="12.67"/>
    <col collapsed="false" customWidth="false" hidden="false" outlineLevel="0" max="6" min="5" style="2" width="9.88"/>
    <col collapsed="false" customWidth="true" hidden="false" outlineLevel="0" max="7" min="7" style="2" width="11"/>
    <col collapsed="false" customWidth="true" hidden="false" outlineLevel="0" max="8" min="8" style="2" width="19.11"/>
    <col collapsed="false" customWidth="true" hidden="false" outlineLevel="0" max="9" min="9" style="2" width="3.67"/>
    <col collapsed="false" customWidth="true" hidden="false" outlineLevel="0" max="10" min="10" style="2" width="3.88"/>
    <col collapsed="false" customWidth="true" hidden="false" outlineLevel="0" max="12" min="11" style="2" width="12.33"/>
    <col collapsed="false" customWidth="true" hidden="false" outlineLevel="0" max="13" min="13" style="2" width="47.44"/>
    <col collapsed="false" customWidth="true" hidden="false" outlineLevel="0" max="14" min="14" style="2" width="4.44"/>
    <col collapsed="false" customWidth="true" hidden="false" outlineLevel="0" max="15" min="15" style="2" width="4"/>
    <col collapsed="false" customWidth="true" hidden="false" outlineLevel="0" max="16" min="16" style="2" width="12.33"/>
    <col collapsed="false" customWidth="false" hidden="false" outlineLevel="0" max="16384" min="17" style="2" width="9.88"/>
  </cols>
  <sheetData>
    <row r="1" customFormat="false" ht="14.25" hidden="false" customHeight="false" outlineLevel="0" collapsed="false">
      <c r="H1" s="3"/>
    </row>
    <row r="2" customFormat="false" ht="34.5" hidden="false" customHeight="true" outlineLevel="0" collapsed="false">
      <c r="H2" s="4" t="s">
        <v>0</v>
      </c>
      <c r="I2" s="4"/>
      <c r="J2" s="4"/>
      <c r="K2" s="4"/>
      <c r="L2" s="4"/>
      <c r="M2" s="4"/>
      <c r="N2" s="4"/>
      <c r="O2" s="4"/>
      <c r="P2" s="4"/>
    </row>
    <row r="3" customFormat="false" ht="14.25" hidden="false" customHeight="false" outlineLevel="0" collapsed="false">
      <c r="H3" s="3"/>
    </row>
    <row r="4" customFormat="false" ht="30" hidden="false" customHeight="true" outlineLevel="0" collapsed="false">
      <c r="H4" s="5" t="s">
        <v>1</v>
      </c>
      <c r="I4" s="5"/>
      <c r="J4" s="5"/>
      <c r="K4" s="5"/>
      <c r="L4" s="5"/>
      <c r="M4" s="5"/>
      <c r="N4" s="5"/>
      <c r="O4" s="5"/>
      <c r="P4" s="5"/>
    </row>
    <row r="5" customFormat="false" ht="15" hidden="false" customHeight="true" outlineLevel="0" collapsed="false">
      <c r="H5" s="3"/>
    </row>
    <row r="6" customFormat="false" ht="31.5" hidden="false" customHeight="true" outlineLevel="0" collapsed="false">
      <c r="H6" s="3"/>
      <c r="I6" s="6" t="s">
        <v>2</v>
      </c>
      <c r="J6" s="6"/>
      <c r="K6" s="6"/>
      <c r="L6" s="6"/>
      <c r="M6" s="6"/>
      <c r="N6" s="6"/>
      <c r="O6" s="6"/>
    </row>
    <row r="10" customFormat="false" ht="18" hidden="false" customHeight="true" outlineLevel="0" collapsed="false">
      <c r="A10" s="7" t="s">
        <v>3</v>
      </c>
      <c r="B10" s="8"/>
      <c r="C10" s="8"/>
      <c r="D10" s="8"/>
      <c r="E10" s="8"/>
      <c r="F10" s="8"/>
      <c r="G10" s="8"/>
    </row>
    <row r="11" customFormat="false" ht="18" hidden="false" customHeight="true" outlineLevel="0" collapsed="false">
      <c r="A11" s="9"/>
      <c r="B11" s="10"/>
      <c r="C11" s="10"/>
      <c r="D11" s="10"/>
      <c r="E11" s="10"/>
      <c r="F11" s="10"/>
      <c r="G11" s="10"/>
      <c r="H11" s="10"/>
    </row>
    <row r="12" customFormat="false" ht="89.25" hidden="false" customHeight="true" outlineLevel="0" collapsed="false">
      <c r="B12" s="11" t="s">
        <v>4</v>
      </c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</row>
    <row r="13" customFormat="false" ht="9" hidden="false" customHeight="true" outlineLevel="0" collapsed="false"/>
    <row r="14" customFormat="false" ht="5.25" hidden="false" customHeight="true" outlineLevel="0" collapsed="false"/>
    <row r="15" customFormat="false" ht="14.2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4.2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14.2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customFormat="false" ht="14.2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customFormat="false" ht="14.2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customFormat="false" ht="14.2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customFormat="false" ht="14.2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4.2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customFormat="false" ht="14.2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customFormat="false" ht="14.2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customFormat="false" ht="14.2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14.2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4.2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14.2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14.2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14.2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</sheetData>
  <mergeCells count="4">
    <mergeCell ref="H2:P2"/>
    <mergeCell ref="H4:P4"/>
    <mergeCell ref="I6:O6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09375" defaultRowHeight="14.25" zeroHeight="false" outlineLevelRow="0" outlineLevelCol="0"/>
  <cols>
    <col collapsed="false" customWidth="true" hidden="false" outlineLevel="0" max="1" min="1" style="14" width="15.11"/>
    <col collapsed="false" customWidth="true" hidden="false" outlineLevel="0" max="2" min="2" style="14" width="28.33"/>
    <col collapsed="false" customWidth="true" hidden="false" outlineLevel="0" max="20" min="3" style="14" width="12.67"/>
    <col collapsed="false" customWidth="false" hidden="false" outlineLevel="0" max="16384" min="21" style="14" width="9.11"/>
  </cols>
  <sheetData>
    <row r="2" customFormat="false" ht="14.25" hidden="false" customHeight="false" outlineLevel="0" collapsed="false">
      <c r="A2" s="15"/>
      <c r="B2" s="16" t="s">
        <v>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customFormat="false" ht="14.25" hidden="false" customHeight="false" outlineLevel="0" collapsed="false">
      <c r="A4" s="17" t="s">
        <v>6</v>
      </c>
      <c r="D4" s="17" t="s">
        <v>7</v>
      </c>
    </row>
    <row r="5" customFormat="false" ht="14.25" hidden="false" customHeight="false" outlineLevel="0" collapsed="false">
      <c r="B5" s="14" t="s">
        <v>8</v>
      </c>
      <c r="F5" s="18" t="n">
        <v>40604</v>
      </c>
      <c r="G5" s="18" t="n">
        <v>40566</v>
      </c>
      <c r="H5" s="18" t="n">
        <v>41494</v>
      </c>
      <c r="I5" s="18" t="n">
        <v>41398</v>
      </c>
      <c r="J5" s="18" t="n">
        <v>42581</v>
      </c>
      <c r="K5" s="18" t="n">
        <v>40826</v>
      </c>
      <c r="L5" s="18" t="n">
        <v>42597</v>
      </c>
      <c r="M5" s="18" t="n">
        <v>43371</v>
      </c>
      <c r="N5" s="18" t="n">
        <v>42201</v>
      </c>
      <c r="O5" s="18" t="n">
        <v>40270</v>
      </c>
      <c r="P5" s="18" t="n">
        <v>41905</v>
      </c>
      <c r="Q5" s="18" t="n">
        <v>41237</v>
      </c>
      <c r="R5" s="18" t="n">
        <v>43243</v>
      </c>
      <c r="S5" s="18" t="n">
        <v>40525</v>
      </c>
      <c r="T5" s="18" t="n">
        <v>40398</v>
      </c>
    </row>
    <row r="6" customFormat="false" ht="14.25" hidden="false" customHeight="false" outlineLevel="0" collapsed="false">
      <c r="B6" s="14" t="s">
        <v>9</v>
      </c>
      <c r="D6" s="19" t="n">
        <f aca="false">INT(SQRT(SUMPRODUCT($F$5:$T$5,$F$6:$T$6)))</f>
        <v>161053</v>
      </c>
      <c r="F6" s="20" t="n">
        <f aca="false">EOMONTH(F5,MOD(3-MONTH(F5),3))</f>
        <v>40633</v>
      </c>
      <c r="G6" s="21" t="n">
        <f aca="false">EOMONTH(G5,MOD(3-MONTH(G5),3))</f>
        <v>40633</v>
      </c>
      <c r="H6" s="21" t="n">
        <f aca="false">EOMONTH(H5,MOD(3-MONTH(H5),3))</f>
        <v>41547</v>
      </c>
      <c r="I6" s="21" t="n">
        <f aca="false">EOMONTH(I5,MOD(3-MONTH(I5),3))</f>
        <v>41455</v>
      </c>
      <c r="J6" s="21" t="n">
        <f aca="false">EOMONTH(J5,MOD(3-MONTH(J5),3))</f>
        <v>42643</v>
      </c>
      <c r="K6" s="21" t="n">
        <f aca="false">EOMONTH(K5,MOD(3-MONTH(K5),3))</f>
        <v>40908</v>
      </c>
      <c r="L6" s="21" t="n">
        <f aca="false">EOMONTH(L5,MOD(3-MONTH(L5),3))</f>
        <v>42643</v>
      </c>
      <c r="M6" s="21" t="n">
        <f aca="false">EOMONTH(M5,MOD(3-MONTH(M5),3))</f>
        <v>43373</v>
      </c>
      <c r="N6" s="21" t="n">
        <f aca="false">EOMONTH(N5,MOD(3-MONTH(N5),3))</f>
        <v>42277</v>
      </c>
      <c r="O6" s="21" t="n">
        <f aca="false">EOMONTH(O5,MOD(3-MONTH(O5),3))</f>
        <v>40359</v>
      </c>
      <c r="P6" s="21" t="n">
        <f aca="false">EOMONTH(P5,MOD(3-MONTH(P5),3))</f>
        <v>41912</v>
      </c>
      <c r="Q6" s="21" t="n">
        <f aca="false">EOMONTH(Q5,MOD(3-MONTH(Q5),3))</f>
        <v>41274</v>
      </c>
      <c r="R6" s="21" t="n">
        <f aca="false">EOMONTH(R5,MOD(3-MONTH(R5),3))</f>
        <v>43281</v>
      </c>
      <c r="S6" s="21" t="n">
        <f aca="false">EOMONTH(S5,MOD(3-MONTH(S5),3))</f>
        <v>40543</v>
      </c>
      <c r="T6" s="22" t="n">
        <f aca="false">EOMONTH(T5,MOD(3-MONTH(T5),3))</f>
        <v>40451</v>
      </c>
    </row>
    <row r="8" customFormat="false" ht="14.25" hidden="false" customHeight="false" outlineLevel="0" collapsed="false">
      <c r="B8" s="14" t="s">
        <v>10</v>
      </c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</row>
    <row r="9" customFormat="false" ht="14.25" hidden="false" customHeight="false" outlineLevel="0" collapsed="false"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customFormat="false" ht="14.25" hidden="false" customHeight="false" outlineLevel="0" collapsed="false"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</row>
    <row r="11" customFormat="false" ht="14.25" hidden="false" customHeight="false" outlineLevel="0" collapsed="false"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customFormat="false" ht="14.25" hidden="false" customHeight="false" outlineLevel="0" collapsed="false"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customFormat="false" ht="14.25" hidden="false" customHeight="false" outlineLevel="0" collapsed="false"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</row>
    <row r="14" customFormat="false" ht="14.25" hidden="false" customHeight="false" outlineLevel="0" collapsed="false"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1"/>
    </row>
    <row r="17" customFormat="false" ht="14.25" hidden="false" customHeight="false" outlineLevel="0" collapsed="false">
      <c r="A17" s="17" t="s">
        <v>11</v>
      </c>
    </row>
    <row r="18" customFormat="false" ht="14.25" hidden="false" customHeight="false" outlineLevel="0" collapsed="false">
      <c r="B18" s="14" t="s">
        <v>12</v>
      </c>
      <c r="D18" s="19" t="n">
        <f aca="false">INT(SQRT(SUMPRODUCT($F$5:$T$5,$F$18:$T$18)))</f>
        <v>160876</v>
      </c>
      <c r="F18" s="20" t="n">
        <f aca="false">EOMONTH(F6,-3)</f>
        <v>40543</v>
      </c>
      <c r="G18" s="21" t="n">
        <f aca="false">EOMONTH(G6,-3)</f>
        <v>40543</v>
      </c>
      <c r="H18" s="21" t="n">
        <f aca="false">EOMONTH(H6,-3)</f>
        <v>41455</v>
      </c>
      <c r="I18" s="21" t="n">
        <f aca="false">EOMONTH(I6,-3)</f>
        <v>41364</v>
      </c>
      <c r="J18" s="21" t="n">
        <f aca="false">EOMONTH(J6,-3)</f>
        <v>42551</v>
      </c>
      <c r="K18" s="21" t="n">
        <f aca="false">EOMONTH(K6,-3)</f>
        <v>40816</v>
      </c>
      <c r="L18" s="21" t="n">
        <f aca="false">EOMONTH(L6,-3)</f>
        <v>42551</v>
      </c>
      <c r="M18" s="21" t="n">
        <f aca="false">EOMONTH(M6,-3)</f>
        <v>43281</v>
      </c>
      <c r="N18" s="21" t="n">
        <f aca="false">EOMONTH(N6,-3)</f>
        <v>42185</v>
      </c>
      <c r="O18" s="21" t="n">
        <f aca="false">EOMONTH(O6,-3)</f>
        <v>40268</v>
      </c>
      <c r="P18" s="21" t="n">
        <f aca="false">EOMONTH(P6,-3)</f>
        <v>41820</v>
      </c>
      <c r="Q18" s="21" t="n">
        <f aca="false">EOMONTH(Q6,-3)</f>
        <v>41182</v>
      </c>
      <c r="R18" s="21" t="n">
        <f aca="false">EOMONTH(R6,-3)</f>
        <v>43190</v>
      </c>
      <c r="S18" s="21" t="n">
        <f aca="false">EOMONTH(S6,-3)</f>
        <v>40451</v>
      </c>
      <c r="T18" s="22" t="n">
        <f aca="false">EOMONTH(T6,-3)</f>
        <v>40359</v>
      </c>
    </row>
    <row r="21" customFormat="false" ht="14.25" hidden="false" customHeight="false" outlineLevel="0" collapsed="false">
      <c r="A21" s="15"/>
      <c r="B21" s="16" t="s">
        <v>13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3" customFormat="false" ht="14.25" hidden="false" customHeight="false" outlineLevel="0" collapsed="false">
      <c r="B23" s="14" t="s">
        <v>14</v>
      </c>
      <c r="E23" s="32" t="n">
        <v>0.0975</v>
      </c>
    </row>
    <row r="24" customFormat="false" ht="14.25" hidden="false" customHeight="false" outlineLevel="0" collapsed="false">
      <c r="A24" s="17" t="s">
        <v>15</v>
      </c>
      <c r="B24" s="14" t="s">
        <v>16</v>
      </c>
      <c r="C24" s="17"/>
      <c r="E24" s="33"/>
      <c r="F24" s="34" t="n">
        <f aca="false">PMT($E$23/12,$A$62,$D$26)</f>
        <v>-1607.49705072243</v>
      </c>
      <c r="G24" s="17"/>
    </row>
    <row r="25" customFormat="false" ht="28.5" hidden="false" customHeight="true" outlineLevel="0" collapsed="false">
      <c r="A25" s="35" t="s">
        <v>17</v>
      </c>
      <c r="B25" s="36" t="s">
        <v>18</v>
      </c>
      <c r="C25" s="36" t="s">
        <v>19</v>
      </c>
      <c r="D25" s="36" t="s">
        <v>20</v>
      </c>
      <c r="E25" s="36" t="s">
        <v>21</v>
      </c>
      <c r="F25" s="36" t="s">
        <v>22</v>
      </c>
      <c r="G25" s="36" t="s">
        <v>23</v>
      </c>
      <c r="H25" s="36" t="s">
        <v>24</v>
      </c>
      <c r="I25" s="36"/>
      <c r="J25" s="37"/>
      <c r="K25" s="37"/>
    </row>
    <row r="26" customFormat="false" ht="14.25" hidden="false" customHeight="false" outlineLevel="0" collapsed="false">
      <c r="A26" s="38" t="n">
        <v>0</v>
      </c>
      <c r="B26" s="18" t="n">
        <v>43179</v>
      </c>
      <c r="C26" s="39" t="n">
        <v>0</v>
      </c>
      <c r="D26" s="40" t="n">
        <v>50000</v>
      </c>
      <c r="E26" s="39" t="n">
        <v>0</v>
      </c>
      <c r="F26" s="39" t="n">
        <v>0</v>
      </c>
      <c r="G26" s="39" t="n">
        <v>0</v>
      </c>
      <c r="H26" s="41" t="n">
        <f aca="false">SUM(C26:G26)</f>
        <v>50000</v>
      </c>
    </row>
    <row r="27" customFormat="false" ht="14.25" hidden="false" customHeight="false" outlineLevel="0" collapsed="false">
      <c r="A27" s="38" t="n">
        <f aca="false">A26+1</f>
        <v>1</v>
      </c>
      <c r="B27" s="42" t="n">
        <f aca="false">EDATE(B26,1)</f>
        <v>43210</v>
      </c>
      <c r="C27" s="43" t="n">
        <f aca="false">H26</f>
        <v>50000</v>
      </c>
      <c r="D27" s="43" t="n">
        <v>0</v>
      </c>
      <c r="E27" s="43" t="n">
        <f aca="false">C27*$E$23/12</f>
        <v>406.25</v>
      </c>
      <c r="F27" s="43" t="n">
        <f aca="false">$F$24</f>
        <v>-1607.49705072243</v>
      </c>
      <c r="G27" s="44" t="n">
        <v>0</v>
      </c>
      <c r="H27" s="45" t="n">
        <f aca="false">SUM(C27:G27)</f>
        <v>48798.7529492776</v>
      </c>
    </row>
    <row r="28" customFormat="false" ht="14.25" hidden="false" customHeight="false" outlineLevel="0" collapsed="false">
      <c r="A28" s="38" t="n">
        <f aca="false">A27+1</f>
        <v>2</v>
      </c>
      <c r="B28" s="42" t="n">
        <f aca="false">EDATE(B27,1)</f>
        <v>43240</v>
      </c>
      <c r="C28" s="43" t="n">
        <f aca="false">H27</f>
        <v>48798.7529492776</v>
      </c>
      <c r="D28" s="43" t="n">
        <v>0</v>
      </c>
      <c r="E28" s="43" t="n">
        <f aca="false">C28*$E$23/12</f>
        <v>396.48986771288</v>
      </c>
      <c r="F28" s="43" t="n">
        <f aca="false">$F$24</f>
        <v>-1607.49705072243</v>
      </c>
      <c r="G28" s="44" t="n">
        <v>0</v>
      </c>
      <c r="H28" s="45" t="n">
        <f aca="false">SUM(C28:G28)</f>
        <v>47587.745766268</v>
      </c>
    </row>
    <row r="29" customFormat="false" ht="14.25" hidden="false" customHeight="false" outlineLevel="0" collapsed="false">
      <c r="A29" s="38" t="n">
        <f aca="false">A28+1</f>
        <v>3</v>
      </c>
      <c r="B29" s="42" t="n">
        <f aca="false">EDATE(B28,1)</f>
        <v>43271</v>
      </c>
      <c r="C29" s="43" t="n">
        <f aca="false">H28</f>
        <v>47587.745766268</v>
      </c>
      <c r="D29" s="43" t="n">
        <v>0</v>
      </c>
      <c r="E29" s="43" t="n">
        <f aca="false">C29*$E$23/12</f>
        <v>386.650434350928</v>
      </c>
      <c r="F29" s="43" t="n">
        <f aca="false">$F$24</f>
        <v>-1607.49705072243</v>
      </c>
      <c r="G29" s="44" t="n">
        <v>0</v>
      </c>
      <c r="H29" s="45" t="n">
        <f aca="false">SUM(C29:G29)</f>
        <v>46366.8991498965</v>
      </c>
    </row>
    <row r="30" customFormat="false" ht="14.25" hidden="false" customHeight="false" outlineLevel="0" collapsed="false">
      <c r="A30" s="38" t="n">
        <f aca="false">A29+1</f>
        <v>4</v>
      </c>
      <c r="B30" s="42" t="n">
        <f aca="false">EDATE(B29,1)</f>
        <v>43301</v>
      </c>
      <c r="C30" s="43" t="n">
        <f aca="false">H29</f>
        <v>46366.8991498965</v>
      </c>
      <c r="D30" s="43" t="n">
        <v>0</v>
      </c>
      <c r="E30" s="43" t="n">
        <f aca="false">C30*$E$23/12</f>
        <v>376.731055592909</v>
      </c>
      <c r="F30" s="43" t="n">
        <f aca="false">$F$24</f>
        <v>-1607.49705072243</v>
      </c>
      <c r="G30" s="44" t="n">
        <v>0</v>
      </c>
      <c r="H30" s="45" t="n">
        <f aca="false">SUM(C30:G30)</f>
        <v>45136.133154767</v>
      </c>
    </row>
    <row r="31" customFormat="false" ht="14.25" hidden="false" customHeight="false" outlineLevel="0" collapsed="false">
      <c r="A31" s="38" t="n">
        <f aca="false">A30+1</f>
        <v>5</v>
      </c>
      <c r="B31" s="42" t="n">
        <f aca="false">EDATE(B30,1)</f>
        <v>43332</v>
      </c>
      <c r="C31" s="43" t="n">
        <f aca="false">H30</f>
        <v>45136.133154767</v>
      </c>
      <c r="D31" s="43" t="n">
        <v>0</v>
      </c>
      <c r="E31" s="43" t="n">
        <f aca="false">C31*$E$23/12</f>
        <v>366.731081882482</v>
      </c>
      <c r="F31" s="43" t="n">
        <f aca="false">$F$24</f>
        <v>-1607.49705072243</v>
      </c>
      <c r="G31" s="44" t="n">
        <v>0</v>
      </c>
      <c r="H31" s="45" t="n">
        <f aca="false">SUM(C31:G31)</f>
        <v>43895.367185927</v>
      </c>
    </row>
    <row r="32" customFormat="false" ht="14.25" hidden="false" customHeight="false" outlineLevel="0" collapsed="false">
      <c r="A32" s="38" t="n">
        <f aca="false">A31+1</f>
        <v>6</v>
      </c>
      <c r="B32" s="42" t="n">
        <f aca="false">EDATE(B31,1)</f>
        <v>43363</v>
      </c>
      <c r="C32" s="43" t="n">
        <f aca="false">H31</f>
        <v>43895.367185927</v>
      </c>
      <c r="D32" s="43" t="n">
        <v>0</v>
      </c>
      <c r="E32" s="43" t="n">
        <f aca="false">C32*$E$23/12</f>
        <v>356.649858385657</v>
      </c>
      <c r="F32" s="43" t="n">
        <f aca="false">$F$24</f>
        <v>-1607.49705072243</v>
      </c>
      <c r="G32" s="44" t="n">
        <v>0</v>
      </c>
      <c r="H32" s="45" t="n">
        <f aca="false">SUM(C32:G32)</f>
        <v>42644.5199935903</v>
      </c>
    </row>
    <row r="33" customFormat="false" ht="14.25" hidden="false" customHeight="false" outlineLevel="0" collapsed="false">
      <c r="A33" s="38" t="n">
        <f aca="false">A32+1</f>
        <v>7</v>
      </c>
      <c r="B33" s="42" t="n">
        <f aca="false">EDATE(B32,1)</f>
        <v>43393</v>
      </c>
      <c r="C33" s="43" t="n">
        <f aca="false">H32</f>
        <v>42644.5199935903</v>
      </c>
      <c r="D33" s="43" t="n">
        <v>0</v>
      </c>
      <c r="E33" s="43" t="n">
        <f aca="false">C33*$E$23/12</f>
        <v>346.486724947921</v>
      </c>
      <c r="F33" s="43" t="n">
        <f aca="false">$F$24</f>
        <v>-1607.49705072243</v>
      </c>
      <c r="G33" s="44" t="n">
        <v>0</v>
      </c>
      <c r="H33" s="45" t="n">
        <f aca="false">SUM(C33:G33)</f>
        <v>41383.5096678157</v>
      </c>
    </row>
    <row r="34" customFormat="false" ht="14.25" hidden="false" customHeight="false" outlineLevel="0" collapsed="false">
      <c r="A34" s="38" t="n">
        <f aca="false">A33+1</f>
        <v>8</v>
      </c>
      <c r="B34" s="42" t="n">
        <f aca="false">EDATE(B33,1)</f>
        <v>43424</v>
      </c>
      <c r="C34" s="43" t="n">
        <f aca="false">H33</f>
        <v>41383.5096678157</v>
      </c>
      <c r="D34" s="43" t="n">
        <v>0</v>
      </c>
      <c r="E34" s="43" t="n">
        <f aca="false">C34*$E$23/12</f>
        <v>336.241016051003</v>
      </c>
      <c r="F34" s="43" t="n">
        <f aca="false">$F$24</f>
        <v>-1607.49705072243</v>
      </c>
      <c r="G34" s="44" t="n">
        <v>0</v>
      </c>
      <c r="H34" s="45" t="n">
        <f aca="false">SUM(C34:G34)</f>
        <v>40112.2536331443</v>
      </c>
    </row>
    <row r="35" customFormat="false" ht="14.25" hidden="false" customHeight="false" outlineLevel="0" collapsed="false">
      <c r="A35" s="38" t="n">
        <f aca="false">A34+1</f>
        <v>9</v>
      </c>
      <c r="B35" s="42" t="n">
        <f aca="false">EDATE(B34,1)</f>
        <v>43454</v>
      </c>
      <c r="C35" s="43" t="n">
        <f aca="false">H34</f>
        <v>40112.2536331443</v>
      </c>
      <c r="D35" s="43" t="n">
        <v>0</v>
      </c>
      <c r="E35" s="43" t="n">
        <f aca="false">C35*$E$23/12</f>
        <v>325.912060769298</v>
      </c>
      <c r="F35" s="43" t="n">
        <f aca="false">$F$24</f>
        <v>-1607.49705072243</v>
      </c>
      <c r="G35" s="44" t="n">
        <v>0</v>
      </c>
      <c r="H35" s="45" t="n">
        <f aca="false">SUM(C35:G35)</f>
        <v>38830.6686431912</v>
      </c>
    </row>
    <row r="36" customFormat="false" ht="14.25" hidden="false" customHeight="false" outlineLevel="0" collapsed="false">
      <c r="A36" s="38" t="n">
        <f aca="false">A35+1</f>
        <v>10</v>
      </c>
      <c r="B36" s="42" t="n">
        <f aca="false">EDATE(B35,1)</f>
        <v>43485</v>
      </c>
      <c r="C36" s="43" t="n">
        <f aca="false">H35</f>
        <v>38830.6686431912</v>
      </c>
      <c r="D36" s="43" t="n">
        <v>0</v>
      </c>
      <c r="E36" s="43" t="n">
        <f aca="false">C36*$E$23/12</f>
        <v>315.499182725928</v>
      </c>
      <c r="F36" s="43" t="n">
        <f aca="false">$F$24</f>
        <v>-1607.49705072243</v>
      </c>
      <c r="G36" s="44" t="n">
        <v>-10000</v>
      </c>
      <c r="H36" s="45" t="n">
        <f aca="false">SUM(C36:G36)</f>
        <v>27538.6707751947</v>
      </c>
    </row>
    <row r="37" customFormat="false" ht="14.25" hidden="false" customHeight="false" outlineLevel="0" collapsed="false">
      <c r="A37" s="38" t="n">
        <f aca="false">A36+1</f>
        <v>11</v>
      </c>
      <c r="B37" s="42" t="n">
        <f aca="false">EDATE(B36,1)</f>
        <v>43516</v>
      </c>
      <c r="C37" s="43" t="n">
        <f aca="false">H36</f>
        <v>27538.6707751947</v>
      </c>
      <c r="D37" s="43" t="n">
        <v>0</v>
      </c>
      <c r="E37" s="43" t="n">
        <f aca="false">C37*$E$23/12</f>
        <v>223.751700048457</v>
      </c>
      <c r="F37" s="43" t="n">
        <f aca="false">PMT($E$23/12,$A$62-A36,H36)</f>
        <v>-1179.27276426617</v>
      </c>
      <c r="G37" s="44" t="n">
        <v>0</v>
      </c>
      <c r="H37" s="45" t="n">
        <f aca="false">SUM(C37:G37)</f>
        <v>26583.1497109769</v>
      </c>
    </row>
    <row r="38" customFormat="false" ht="14.25" hidden="false" customHeight="false" outlineLevel="0" collapsed="false">
      <c r="A38" s="38" t="n">
        <f aca="false">A37+1</f>
        <v>12</v>
      </c>
      <c r="B38" s="42" t="n">
        <f aca="false">EDATE(B37,1)</f>
        <v>43544</v>
      </c>
      <c r="C38" s="43" t="n">
        <f aca="false">H37</f>
        <v>26583.1497109769</v>
      </c>
      <c r="D38" s="43" t="n">
        <v>0</v>
      </c>
      <c r="E38" s="43" t="n">
        <f aca="false">C38*$E$23/12</f>
        <v>215.988091401688</v>
      </c>
      <c r="F38" s="43" t="n">
        <f aca="false">$F$37</f>
        <v>-1179.27276426617</v>
      </c>
      <c r="G38" s="44" t="n">
        <v>0</v>
      </c>
      <c r="H38" s="45" t="n">
        <f aca="false">SUM(C38:G38)</f>
        <v>25619.8650381125</v>
      </c>
    </row>
    <row r="39" customFormat="false" ht="14.25" hidden="false" customHeight="false" outlineLevel="0" collapsed="false">
      <c r="A39" s="38" t="n">
        <f aca="false">A38+1</f>
        <v>13</v>
      </c>
      <c r="B39" s="42" t="n">
        <f aca="false">EDATE(B38,1)</f>
        <v>43575</v>
      </c>
      <c r="C39" s="43" t="n">
        <f aca="false">H38</f>
        <v>25619.8650381125</v>
      </c>
      <c r="D39" s="43" t="n">
        <v>0</v>
      </c>
      <c r="E39" s="43" t="n">
        <f aca="false">C39*$E$23/12</f>
        <v>208.161403434664</v>
      </c>
      <c r="F39" s="43" t="n">
        <f aca="false">$F$37</f>
        <v>-1179.27276426617</v>
      </c>
      <c r="G39" s="44" t="n">
        <v>0</v>
      </c>
      <c r="H39" s="45" t="n">
        <f aca="false">SUM(C39:G39)</f>
        <v>24648.753677281</v>
      </c>
    </row>
    <row r="40" customFormat="false" ht="14.25" hidden="false" customHeight="false" outlineLevel="0" collapsed="false">
      <c r="A40" s="38" t="n">
        <f aca="false">A39+1</f>
        <v>14</v>
      </c>
      <c r="B40" s="42" t="n">
        <f aca="false">EDATE(B39,1)</f>
        <v>43605</v>
      </c>
      <c r="C40" s="43" t="n">
        <f aca="false">H39</f>
        <v>24648.753677281</v>
      </c>
      <c r="D40" s="43" t="n">
        <v>0</v>
      </c>
      <c r="E40" s="43" t="n">
        <f aca="false">C40*$E$23/12</f>
        <v>200.271123627908</v>
      </c>
      <c r="F40" s="43" t="n">
        <f aca="false">$F$37</f>
        <v>-1179.27276426617</v>
      </c>
      <c r="G40" s="44" t="n">
        <v>0</v>
      </c>
      <c r="H40" s="45" t="n">
        <f aca="false">SUM(C40:G40)</f>
        <v>23669.7520366427</v>
      </c>
    </row>
    <row r="41" customFormat="false" ht="14.25" hidden="false" customHeight="false" outlineLevel="0" collapsed="false">
      <c r="A41" s="38" t="n">
        <f aca="false">A40+1</f>
        <v>15</v>
      </c>
      <c r="B41" s="42" t="n">
        <f aca="false">EDATE(B40,1)</f>
        <v>43636</v>
      </c>
      <c r="C41" s="43" t="n">
        <f aca="false">H40</f>
        <v>23669.7520366427</v>
      </c>
      <c r="D41" s="43" t="n">
        <v>0</v>
      </c>
      <c r="E41" s="43" t="n">
        <f aca="false">C41*$E$23/12</f>
        <v>192.316735297722</v>
      </c>
      <c r="F41" s="43" t="n">
        <f aca="false">$F$37</f>
        <v>-1179.27276426617</v>
      </c>
      <c r="G41" s="44" t="n">
        <v>0</v>
      </c>
      <c r="H41" s="45" t="n">
        <f aca="false">SUM(C41:G41)</f>
        <v>22682.7960076742</v>
      </c>
    </row>
    <row r="42" customFormat="false" ht="14.25" hidden="false" customHeight="false" outlineLevel="0" collapsed="false">
      <c r="A42" s="38" t="n">
        <f aca="false">A41+1</f>
        <v>16</v>
      </c>
      <c r="B42" s="42" t="n">
        <f aca="false">EDATE(B41,1)</f>
        <v>43666</v>
      </c>
      <c r="C42" s="43" t="n">
        <f aca="false">H41</f>
        <v>22682.7960076742</v>
      </c>
      <c r="D42" s="43" t="n">
        <v>0</v>
      </c>
      <c r="E42" s="43" t="n">
        <f aca="false">C42*$E$23/12</f>
        <v>184.297717562353</v>
      </c>
      <c r="F42" s="43" t="n">
        <f aca="false">$F$37</f>
        <v>-1179.27276426617</v>
      </c>
      <c r="G42" s="44" t="n">
        <v>0</v>
      </c>
      <c r="H42" s="45" t="n">
        <f aca="false">SUM(C42:G42)</f>
        <v>21687.8209609704</v>
      </c>
    </row>
    <row r="43" customFormat="false" ht="14.25" hidden="false" customHeight="false" outlineLevel="0" collapsed="false">
      <c r="A43" s="38" t="n">
        <f aca="false">A42+1</f>
        <v>17</v>
      </c>
      <c r="B43" s="42" t="n">
        <f aca="false">EDATE(B42,1)</f>
        <v>43697</v>
      </c>
      <c r="C43" s="43" t="n">
        <f aca="false">H42</f>
        <v>21687.8209609704</v>
      </c>
      <c r="D43" s="43" t="n">
        <v>0</v>
      </c>
      <c r="E43" s="43" t="n">
        <f aca="false">C43*$E$23/12</f>
        <v>176.213545307885</v>
      </c>
      <c r="F43" s="43" t="n">
        <f aca="false">$F$37</f>
        <v>-1179.27276426617</v>
      </c>
      <c r="G43" s="44" t="n">
        <v>0</v>
      </c>
      <c r="H43" s="45" t="n">
        <f aca="false">SUM(C43:G43)</f>
        <v>20684.7617420121</v>
      </c>
    </row>
    <row r="44" customFormat="false" ht="14.25" hidden="false" customHeight="false" outlineLevel="0" collapsed="false">
      <c r="A44" s="38" t="n">
        <f aca="false">A43+1</f>
        <v>18</v>
      </c>
      <c r="B44" s="42" t="n">
        <f aca="false">EDATE(B43,1)</f>
        <v>43728</v>
      </c>
      <c r="C44" s="43" t="n">
        <f aca="false">H43</f>
        <v>20684.7617420121</v>
      </c>
      <c r="D44" s="43" t="n">
        <v>0</v>
      </c>
      <c r="E44" s="43" t="n">
        <f aca="false">C44*$E$23/12</f>
        <v>168.063689153849</v>
      </c>
      <c r="F44" s="43" t="n">
        <f aca="false">$F$37</f>
        <v>-1179.27276426617</v>
      </c>
      <c r="G44" s="44" t="n">
        <v>0</v>
      </c>
      <c r="H44" s="45" t="n">
        <f aca="false">SUM(C44:G44)</f>
        <v>19673.5526668998</v>
      </c>
    </row>
    <row r="45" customFormat="false" ht="14.25" hidden="false" customHeight="false" outlineLevel="0" collapsed="false">
      <c r="A45" s="38" t="n">
        <f aca="false">A44+1</f>
        <v>19</v>
      </c>
      <c r="B45" s="42" t="n">
        <f aca="false">EDATE(B44,1)</f>
        <v>43758</v>
      </c>
      <c r="C45" s="43" t="n">
        <f aca="false">H44</f>
        <v>19673.5526668998</v>
      </c>
      <c r="D45" s="43" t="n">
        <v>0</v>
      </c>
      <c r="E45" s="43" t="n">
        <f aca="false">C45*$E$23/12</f>
        <v>159.847615418561</v>
      </c>
      <c r="F45" s="43" t="n">
        <f aca="false">$F$37</f>
        <v>-1179.27276426617</v>
      </c>
      <c r="G45" s="44" t="n">
        <v>0</v>
      </c>
      <c r="H45" s="45" t="n">
        <f aca="false">SUM(C45:G45)</f>
        <v>18654.1275180522</v>
      </c>
    </row>
    <row r="46" customFormat="false" ht="14.25" hidden="false" customHeight="false" outlineLevel="0" collapsed="false">
      <c r="A46" s="38" t="n">
        <f aca="false">A45+1</f>
        <v>20</v>
      </c>
      <c r="B46" s="42" t="n">
        <f aca="false">EDATE(B45,1)</f>
        <v>43789</v>
      </c>
      <c r="C46" s="43" t="n">
        <f aca="false">H45</f>
        <v>18654.1275180522</v>
      </c>
      <c r="D46" s="43" t="n">
        <v>0</v>
      </c>
      <c r="E46" s="43" t="n">
        <f aca="false">C46*$E$23/12</f>
        <v>151.564786084174</v>
      </c>
      <c r="F46" s="43" t="n">
        <f aca="false">$F$37</f>
        <v>-1179.27276426617</v>
      </c>
      <c r="G46" s="44" t="n">
        <v>0</v>
      </c>
      <c r="H46" s="45" t="n">
        <f aca="false">SUM(C46:G46)</f>
        <v>17626.4195398702</v>
      </c>
    </row>
    <row r="47" customFormat="false" ht="14.25" hidden="false" customHeight="false" outlineLevel="0" collapsed="false">
      <c r="A47" s="38" t="n">
        <f aca="false">A46+1</f>
        <v>21</v>
      </c>
      <c r="B47" s="42" t="n">
        <f aca="false">EDATE(B46,1)</f>
        <v>43819</v>
      </c>
      <c r="C47" s="43" t="n">
        <f aca="false">H46</f>
        <v>17626.4195398702</v>
      </c>
      <c r="D47" s="43" t="n">
        <v>0</v>
      </c>
      <c r="E47" s="43" t="n">
        <f aca="false">C47*$E$23/12</f>
        <v>143.214658761446</v>
      </c>
      <c r="F47" s="43" t="n">
        <f aca="false">$F$37</f>
        <v>-1179.27276426617</v>
      </c>
      <c r="G47" s="44" t="n">
        <v>0</v>
      </c>
      <c r="H47" s="45" t="n">
        <f aca="false">SUM(C47:G47)</f>
        <v>16590.3614343655</v>
      </c>
    </row>
    <row r="48" customFormat="false" ht="14.25" hidden="false" customHeight="false" outlineLevel="0" collapsed="false">
      <c r="A48" s="38" t="n">
        <f aca="false">A47+1</f>
        <v>22</v>
      </c>
      <c r="B48" s="42" t="n">
        <f aca="false">EDATE(B47,1)</f>
        <v>43850</v>
      </c>
      <c r="C48" s="43" t="n">
        <f aca="false">H47</f>
        <v>16590.3614343655</v>
      </c>
      <c r="D48" s="43" t="n">
        <v>0</v>
      </c>
      <c r="E48" s="43" t="n">
        <f aca="false">C48*$E$23/12</f>
        <v>134.79668665422</v>
      </c>
      <c r="F48" s="43" t="n">
        <f aca="false">$F$37</f>
        <v>-1179.27276426617</v>
      </c>
      <c r="G48" s="44" t="n">
        <v>0</v>
      </c>
      <c r="H48" s="45" t="n">
        <f aca="false">SUM(C48:G48)</f>
        <v>15545.8853567535</v>
      </c>
    </row>
    <row r="49" customFormat="false" ht="14.25" hidden="false" customHeight="false" outlineLevel="0" collapsed="false">
      <c r="A49" s="38" t="n">
        <f aca="false">A48+1</f>
        <v>23</v>
      </c>
      <c r="B49" s="42" t="n">
        <f aca="false">EDATE(B48,1)</f>
        <v>43881</v>
      </c>
      <c r="C49" s="43" t="n">
        <f aca="false">H48</f>
        <v>15545.8853567535</v>
      </c>
      <c r="D49" s="43" t="n">
        <v>0</v>
      </c>
      <c r="E49" s="43" t="n">
        <f aca="false">C49*$E$23/12</f>
        <v>126.310318523623</v>
      </c>
      <c r="F49" s="43" t="n">
        <f aca="false">$F$37</f>
        <v>-1179.27276426617</v>
      </c>
      <c r="G49" s="44" t="n">
        <v>0</v>
      </c>
      <c r="H49" s="45" t="n">
        <f aca="false">SUM(C49:G49)</f>
        <v>14492.922911011</v>
      </c>
    </row>
    <row r="50" customFormat="false" ht="14.25" hidden="false" customHeight="false" outlineLevel="0" collapsed="false">
      <c r="A50" s="38" t="n">
        <f aca="false">A49+1</f>
        <v>24</v>
      </c>
      <c r="B50" s="42" t="n">
        <f aca="false">EDATE(B49,1)</f>
        <v>43910</v>
      </c>
      <c r="C50" s="43" t="n">
        <f aca="false">H49</f>
        <v>14492.922911011</v>
      </c>
      <c r="D50" s="43" t="n">
        <v>0</v>
      </c>
      <c r="E50" s="43" t="n">
        <f aca="false">C50*$E$23/12</f>
        <v>117.754998651964</v>
      </c>
      <c r="F50" s="43" t="n">
        <f aca="false">$F$37</f>
        <v>-1179.27276426617</v>
      </c>
      <c r="G50" s="44" t="n">
        <v>0</v>
      </c>
      <c r="H50" s="45" t="n">
        <f aca="false">SUM(C50:G50)</f>
        <v>13431.4051453968</v>
      </c>
    </row>
    <row r="51" customFormat="false" ht="14.25" hidden="false" customHeight="false" outlineLevel="0" collapsed="false">
      <c r="A51" s="38" t="n">
        <f aca="false">A50+1</f>
        <v>25</v>
      </c>
      <c r="B51" s="42" t="n">
        <f aca="false">EDATE(B50,1)</f>
        <v>43941</v>
      </c>
      <c r="C51" s="43" t="n">
        <f aca="false">H50</f>
        <v>13431.4051453968</v>
      </c>
      <c r="D51" s="43" t="n">
        <v>0</v>
      </c>
      <c r="E51" s="43" t="n">
        <f aca="false">C51*$E$23/12</f>
        <v>109.130166806349</v>
      </c>
      <c r="F51" s="43" t="n">
        <f aca="false">$F$37</f>
        <v>-1179.27276426617</v>
      </c>
      <c r="G51" s="44" t="n">
        <v>0</v>
      </c>
      <c r="H51" s="45" t="n">
        <f aca="false">SUM(C51:G51)</f>
        <v>12361.262547937</v>
      </c>
    </row>
    <row r="52" customFormat="false" ht="14.25" hidden="false" customHeight="false" outlineLevel="0" collapsed="false">
      <c r="A52" s="38" t="n">
        <f aca="false">A51+1</f>
        <v>26</v>
      </c>
      <c r="B52" s="42" t="n">
        <f aca="false">EDATE(B51,1)</f>
        <v>43971</v>
      </c>
      <c r="C52" s="43" t="n">
        <f aca="false">H51</f>
        <v>12361.262547937</v>
      </c>
      <c r="D52" s="43" t="n">
        <v>0</v>
      </c>
      <c r="E52" s="43" t="n">
        <f aca="false">C52*$E$23/12</f>
        <v>100.435258201988</v>
      </c>
      <c r="F52" s="43" t="n">
        <f aca="false">$F$37</f>
        <v>-1179.27276426617</v>
      </c>
      <c r="G52" s="44" t="n">
        <v>0</v>
      </c>
      <c r="H52" s="45" t="n">
        <f aca="false">SUM(C52:G52)</f>
        <v>11282.4250418728</v>
      </c>
    </row>
    <row r="53" customFormat="false" ht="14.25" hidden="false" customHeight="false" outlineLevel="0" collapsed="false">
      <c r="A53" s="38" t="n">
        <f aca="false">A52+1</f>
        <v>27</v>
      </c>
      <c r="B53" s="42" t="n">
        <f aca="false">EDATE(B52,1)</f>
        <v>44002</v>
      </c>
      <c r="C53" s="43" t="n">
        <f aca="false">H52</f>
        <v>11282.4250418728</v>
      </c>
      <c r="D53" s="43" t="n">
        <v>0</v>
      </c>
      <c r="E53" s="43" t="n">
        <f aca="false">C53*$E$23/12</f>
        <v>91.6697034652164</v>
      </c>
      <c r="F53" s="43" t="n">
        <f aca="false">$F$37</f>
        <v>-1179.27276426617</v>
      </c>
      <c r="G53" s="44" t="n">
        <v>0</v>
      </c>
      <c r="H53" s="45" t="n">
        <f aca="false">SUM(C53:G53)</f>
        <v>10194.8219810718</v>
      </c>
    </row>
    <row r="54" customFormat="false" ht="14.25" hidden="false" customHeight="false" outlineLevel="0" collapsed="false">
      <c r="A54" s="38" t="n">
        <f aca="false">A53+1</f>
        <v>28</v>
      </c>
      <c r="B54" s="42" t="n">
        <f aca="false">EDATE(B53,1)</f>
        <v>44032</v>
      </c>
      <c r="C54" s="43" t="n">
        <f aca="false">H53</f>
        <v>10194.8219810718</v>
      </c>
      <c r="D54" s="43" t="n">
        <v>0</v>
      </c>
      <c r="E54" s="43" t="n">
        <f aca="false">C54*$E$23/12</f>
        <v>82.8329285962087</v>
      </c>
      <c r="F54" s="43" t="n">
        <f aca="false">$F$37</f>
        <v>-1179.27276426617</v>
      </c>
      <c r="G54" s="44" t="n">
        <v>0</v>
      </c>
      <c r="H54" s="45" t="n">
        <f aca="false">SUM(C54:G54)</f>
        <v>9098.38214540188</v>
      </c>
    </row>
    <row r="55" customFormat="false" ht="14.25" hidden="false" customHeight="false" outlineLevel="0" collapsed="false">
      <c r="A55" s="38" t="n">
        <f aca="false">A54+1</f>
        <v>29</v>
      </c>
      <c r="B55" s="42" t="n">
        <f aca="false">EDATE(B54,1)</f>
        <v>44063</v>
      </c>
      <c r="C55" s="43" t="n">
        <f aca="false">H54</f>
        <v>9098.38214540188</v>
      </c>
      <c r="D55" s="43" t="n">
        <v>0</v>
      </c>
      <c r="E55" s="43" t="n">
        <f aca="false">C55*$E$23/12</f>
        <v>73.9243549313903</v>
      </c>
      <c r="F55" s="43" t="n">
        <f aca="false">$F$37</f>
        <v>-1179.27276426617</v>
      </c>
      <c r="G55" s="44" t="n">
        <v>0</v>
      </c>
      <c r="H55" s="45" t="n">
        <f aca="false">SUM(C55:G55)</f>
        <v>7993.0337360671</v>
      </c>
    </row>
    <row r="56" customFormat="false" ht="14.25" hidden="false" customHeight="false" outlineLevel="0" collapsed="false">
      <c r="A56" s="38" t="n">
        <f aca="false">A55+1</f>
        <v>30</v>
      </c>
      <c r="B56" s="42" t="n">
        <f aca="false">EDATE(B55,1)</f>
        <v>44094</v>
      </c>
      <c r="C56" s="43" t="n">
        <f aca="false">H55</f>
        <v>7993.0337360671</v>
      </c>
      <c r="D56" s="43" t="n">
        <v>0</v>
      </c>
      <c r="E56" s="43" t="n">
        <f aca="false">C56*$E$23/12</f>
        <v>64.9433991055452</v>
      </c>
      <c r="F56" s="43" t="n">
        <f aca="false">$F$37</f>
        <v>-1179.27276426617</v>
      </c>
      <c r="G56" s="44" t="n">
        <v>0</v>
      </c>
      <c r="H56" s="45" t="n">
        <f aca="false">SUM(C56:G56)</f>
        <v>6878.70437090648</v>
      </c>
    </row>
    <row r="57" customFormat="false" ht="14.25" hidden="false" customHeight="false" outlineLevel="0" collapsed="false">
      <c r="A57" s="38" t="n">
        <f aca="false">A56+1</f>
        <v>31</v>
      </c>
      <c r="B57" s="42" t="n">
        <f aca="false">EDATE(B56,1)</f>
        <v>44124</v>
      </c>
      <c r="C57" s="43" t="n">
        <f aca="false">H56</f>
        <v>6878.70437090648</v>
      </c>
      <c r="D57" s="43" t="n">
        <v>0</v>
      </c>
      <c r="E57" s="43" t="n">
        <f aca="false">C57*$E$23/12</f>
        <v>55.8894730136151</v>
      </c>
      <c r="F57" s="43" t="n">
        <f aca="false">$F$37</f>
        <v>-1179.27276426617</v>
      </c>
      <c r="G57" s="44" t="n">
        <v>0</v>
      </c>
      <c r="H57" s="45" t="n">
        <f aca="false">SUM(C57:G57)</f>
        <v>5755.32107965392</v>
      </c>
    </row>
    <row r="58" customFormat="false" ht="14.25" hidden="false" customHeight="false" outlineLevel="0" collapsed="false">
      <c r="A58" s="38" t="n">
        <f aca="false">A57+1</f>
        <v>32</v>
      </c>
      <c r="B58" s="42" t="n">
        <f aca="false">EDATE(B57,1)</f>
        <v>44155</v>
      </c>
      <c r="C58" s="43" t="n">
        <f aca="false">H57</f>
        <v>5755.32107965392</v>
      </c>
      <c r="D58" s="43" t="n">
        <v>0</v>
      </c>
      <c r="E58" s="43" t="n">
        <f aca="false">C58*$E$23/12</f>
        <v>46.7619837721881</v>
      </c>
      <c r="F58" s="43" t="n">
        <f aca="false">$F$37</f>
        <v>-1179.27276426617</v>
      </c>
      <c r="G58" s="44" t="n">
        <v>0</v>
      </c>
      <c r="H58" s="45" t="n">
        <f aca="false">SUM(C58:G58)</f>
        <v>4622.81029915994</v>
      </c>
    </row>
    <row r="59" customFormat="false" ht="14.25" hidden="false" customHeight="false" outlineLevel="0" collapsed="false">
      <c r="A59" s="38" t="n">
        <f aca="false">A58+1</f>
        <v>33</v>
      </c>
      <c r="B59" s="42" t="n">
        <f aca="false">EDATE(B58,1)</f>
        <v>44185</v>
      </c>
      <c r="C59" s="43" t="n">
        <f aca="false">H58</f>
        <v>4622.81029915994</v>
      </c>
      <c r="D59" s="43" t="n">
        <v>0</v>
      </c>
      <c r="E59" s="43" t="n">
        <f aca="false">C59*$E$23/12</f>
        <v>37.5603336806745</v>
      </c>
      <c r="F59" s="43" t="n">
        <f aca="false">$F$37</f>
        <v>-1179.27276426617</v>
      </c>
      <c r="G59" s="44" t="n">
        <v>0</v>
      </c>
      <c r="H59" s="45" t="n">
        <f aca="false">SUM(C59:G59)</f>
        <v>3481.09786857444</v>
      </c>
    </row>
    <row r="60" customFormat="false" ht="14.25" hidden="false" customHeight="false" outlineLevel="0" collapsed="false">
      <c r="A60" s="38" t="n">
        <f aca="false">A59+1</f>
        <v>34</v>
      </c>
      <c r="B60" s="42" t="n">
        <f aca="false">EDATE(B59,1)</f>
        <v>44216</v>
      </c>
      <c r="C60" s="43" t="n">
        <f aca="false">H59</f>
        <v>3481.09786857444</v>
      </c>
      <c r="D60" s="43" t="n">
        <v>0</v>
      </c>
      <c r="E60" s="43" t="n">
        <f aca="false">C60*$E$23/12</f>
        <v>28.2839201821674</v>
      </c>
      <c r="F60" s="43" t="n">
        <f aca="false">$F$37</f>
        <v>-1179.27276426617</v>
      </c>
      <c r="G60" s="44" t="n">
        <v>0</v>
      </c>
      <c r="H60" s="45" t="n">
        <f aca="false">SUM(C60:G60)</f>
        <v>2330.10902449044</v>
      </c>
    </row>
    <row r="61" customFormat="false" ht="14.25" hidden="false" customHeight="false" outlineLevel="0" collapsed="false">
      <c r="A61" s="38" t="n">
        <f aca="false">A60+1</f>
        <v>35</v>
      </c>
      <c r="B61" s="42" t="n">
        <f aca="false">EDATE(B60,1)</f>
        <v>44247</v>
      </c>
      <c r="C61" s="43" t="n">
        <f aca="false">H60</f>
        <v>2330.10902449044</v>
      </c>
      <c r="D61" s="43" t="n">
        <v>0</v>
      </c>
      <c r="E61" s="43" t="n">
        <f aca="false">C61*$E$23/12</f>
        <v>18.9321358239848</v>
      </c>
      <c r="F61" s="43" t="n">
        <f aca="false">$F$37</f>
        <v>-1179.27276426617</v>
      </c>
      <c r="G61" s="44" t="n">
        <v>0</v>
      </c>
      <c r="H61" s="45" t="n">
        <f aca="false">SUM(C61:G61)</f>
        <v>1169.76839604826</v>
      </c>
    </row>
    <row r="62" customFormat="false" ht="14.25" hidden="false" customHeight="false" outlineLevel="0" collapsed="false">
      <c r="A62" s="38" t="n">
        <f aca="false">A61+1</f>
        <v>36</v>
      </c>
      <c r="B62" s="42" t="n">
        <f aca="false">EDATE(B61,1)</f>
        <v>44275</v>
      </c>
      <c r="C62" s="43" t="n">
        <f aca="false">H61</f>
        <v>1169.76839604826</v>
      </c>
      <c r="D62" s="43" t="n">
        <v>0</v>
      </c>
      <c r="E62" s="43" t="n">
        <f aca="false">C62*$E$23/12</f>
        <v>9.5043682178921</v>
      </c>
      <c r="F62" s="43" t="n">
        <f aca="false">$F$37</f>
        <v>-1179.27276426617</v>
      </c>
      <c r="G62" s="44" t="n">
        <v>0</v>
      </c>
      <c r="H62" s="45" t="n">
        <f aca="false">SUM(C62:G62)</f>
        <v>-1.8644641386345E-011</v>
      </c>
    </row>
    <row r="64" customFormat="false" ht="14.25" hidden="false" customHeight="false" outlineLevel="0" collapsed="false">
      <c r="A64" s="46" t="s">
        <v>25</v>
      </c>
      <c r="B64" s="47"/>
      <c r="C64" s="47"/>
      <c r="D64" s="48" t="n">
        <f aca="false">SUM(D26:D62)</f>
        <v>50000</v>
      </c>
      <c r="E64" s="48" t="n">
        <f aca="false">SUM(E26:E62)</f>
        <v>6736.06237814474</v>
      </c>
      <c r="F64" s="49" t="n">
        <f aca="false">SUM(F26:F62)</f>
        <v>-46736.0623781447</v>
      </c>
      <c r="G64" s="48" t="n">
        <f aca="false">SUM(G26:G62)</f>
        <v>-10000</v>
      </c>
      <c r="H64" s="47"/>
    </row>
    <row r="67" customFormat="false" ht="14.25" hidden="false" customHeight="false" outlineLevel="0" collapsed="false">
      <c r="A67" s="15"/>
      <c r="B67" s="16" t="s">
        <v>26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9" customFormat="false" ht="14.25" hidden="false" customHeight="false" outlineLevel="0" collapsed="false">
      <c r="A69" s="17" t="s">
        <v>27</v>
      </c>
    </row>
    <row r="70" customFormat="false" ht="14.25" hidden="false" customHeight="false" outlineLevel="0" collapsed="false">
      <c r="A70" s="17"/>
      <c r="B70" s="14" t="s">
        <v>28</v>
      </c>
      <c r="D70" s="33"/>
      <c r="E70" s="50" t="n">
        <v>450</v>
      </c>
      <c r="F70" s="17"/>
    </row>
    <row r="71" customFormat="false" ht="14.25" hidden="false" customHeight="false" outlineLevel="0" collapsed="false">
      <c r="A71" s="17"/>
      <c r="D71" s="33"/>
      <c r="E71" s="33"/>
      <c r="F71" s="17"/>
    </row>
    <row r="72" customFormat="false" ht="28.5" hidden="false" customHeight="true" outlineLevel="0" collapsed="false">
      <c r="A72" s="35" t="s">
        <v>17</v>
      </c>
      <c r="B72" s="36" t="s">
        <v>18</v>
      </c>
      <c r="C72" s="36" t="s">
        <v>19</v>
      </c>
      <c r="D72" s="36" t="s">
        <v>21</v>
      </c>
      <c r="E72" s="36" t="s">
        <v>29</v>
      </c>
      <c r="F72" s="36" t="s">
        <v>24</v>
      </c>
      <c r="I72" s="51"/>
      <c r="J72" s="17"/>
      <c r="K72" s="17"/>
    </row>
    <row r="73" customFormat="false" ht="14.25" hidden="false" customHeight="false" outlineLevel="0" collapsed="false">
      <c r="A73" s="38" t="n">
        <v>0</v>
      </c>
      <c r="B73" s="18" t="n">
        <v>43179</v>
      </c>
      <c r="C73" s="39" t="n">
        <v>0</v>
      </c>
      <c r="D73" s="39" t="n">
        <v>0</v>
      </c>
      <c r="E73" s="40" t="n">
        <v>-10000</v>
      </c>
      <c r="F73" s="41" t="n">
        <f aca="false">SUM(C73:E73)</f>
        <v>-10000</v>
      </c>
    </row>
    <row r="74" customFormat="false" ht="14.25" hidden="false" customHeight="false" outlineLevel="0" collapsed="false">
      <c r="A74" s="38" t="n">
        <f aca="false">A73+1</f>
        <v>1</v>
      </c>
      <c r="B74" s="42" t="n">
        <f aca="false">EDATE(B73,1)</f>
        <v>43210</v>
      </c>
      <c r="C74" s="52" t="n">
        <f aca="false">F73</f>
        <v>-10000</v>
      </c>
      <c r="D74" s="43" t="n">
        <f aca="false">C74*$E$102*(B74-B73)/365</f>
        <v>-63.706238595771</v>
      </c>
      <c r="E74" s="52" t="n">
        <f aca="false">$E$70</f>
        <v>450</v>
      </c>
      <c r="F74" s="53" t="n">
        <f aca="false">SUM(C74:E74)</f>
        <v>-9613.70623859577</v>
      </c>
    </row>
    <row r="75" customFormat="false" ht="14.25" hidden="false" customHeight="false" outlineLevel="0" collapsed="false">
      <c r="A75" s="38" t="n">
        <f aca="false">A74+1</f>
        <v>2</v>
      </c>
      <c r="B75" s="42" t="n">
        <f aca="false">EDATE(B74,1)</f>
        <v>43240</v>
      </c>
      <c r="C75" s="52" t="n">
        <f aca="false">F74</f>
        <v>-9613.70623859577</v>
      </c>
      <c r="D75" s="43" t="n">
        <f aca="false">C75*$E$102*(B75-B74)/365</f>
        <v>-59.269651299255</v>
      </c>
      <c r="E75" s="52" t="n">
        <f aca="false">$E$70</f>
        <v>450</v>
      </c>
      <c r="F75" s="53" t="n">
        <f aca="false">SUM(C75:E75)</f>
        <v>-9222.97588989503</v>
      </c>
    </row>
    <row r="76" customFormat="false" ht="14.25" hidden="false" customHeight="false" outlineLevel="0" collapsed="false">
      <c r="A76" s="38" t="n">
        <f aca="false">A75+1</f>
        <v>3</v>
      </c>
      <c r="B76" s="42" t="n">
        <f aca="false">EDATE(B75,1)</f>
        <v>43271</v>
      </c>
      <c r="C76" s="52" t="n">
        <f aca="false">F75</f>
        <v>-9222.97588989503</v>
      </c>
      <c r="D76" s="43" t="n">
        <f aca="false">C76*$E$102*(B76-B75)/365</f>
        <v>-58.7561102604696</v>
      </c>
      <c r="E76" s="52" t="n">
        <f aca="false">$E$70</f>
        <v>450</v>
      </c>
      <c r="F76" s="53" t="n">
        <f aca="false">SUM(C76:E76)</f>
        <v>-8831.7320001555</v>
      </c>
    </row>
    <row r="77" customFormat="false" ht="14.25" hidden="false" customHeight="false" outlineLevel="0" collapsed="false">
      <c r="A77" s="38" t="n">
        <f aca="false">A76+1</f>
        <v>4</v>
      </c>
      <c r="B77" s="42" t="n">
        <f aca="false">EDATE(B76,1)</f>
        <v>43301</v>
      </c>
      <c r="C77" s="52" t="n">
        <f aca="false">F76</f>
        <v>-8831.7320001555</v>
      </c>
      <c r="D77" s="43" t="n">
        <f aca="false">C77*$E$102*(B77-B76)/365</f>
        <v>-54.448686388627</v>
      </c>
      <c r="E77" s="52" t="n">
        <f aca="false">$E$70</f>
        <v>450</v>
      </c>
      <c r="F77" s="53" t="n">
        <f aca="false">SUM(C77:E77)</f>
        <v>-8436.18068654412</v>
      </c>
    </row>
    <row r="78" customFormat="false" ht="14.25" hidden="false" customHeight="false" outlineLevel="0" collapsed="false">
      <c r="A78" s="38" t="n">
        <f aca="false">A77+1</f>
        <v>5</v>
      </c>
      <c r="B78" s="42" t="n">
        <f aca="false">EDATE(B77,1)</f>
        <v>43332</v>
      </c>
      <c r="C78" s="52" t="n">
        <f aca="false">F77</f>
        <v>-8436.18068654412</v>
      </c>
      <c r="D78" s="43" t="n">
        <f aca="false">C78*$E$102*(B78-B77)/365</f>
        <v>-53.7437339654015</v>
      </c>
      <c r="E78" s="52" t="n">
        <f aca="false">$E$70</f>
        <v>450</v>
      </c>
      <c r="F78" s="53" t="n">
        <f aca="false">SUM(C78:E78)</f>
        <v>-8039.92442050952</v>
      </c>
    </row>
    <row r="79" customFormat="false" ht="14.25" hidden="false" customHeight="false" outlineLevel="0" collapsed="false">
      <c r="A79" s="38" t="n">
        <f aca="false">A78+1</f>
        <v>6</v>
      </c>
      <c r="B79" s="42" t="n">
        <f aca="false">EDATE(B78,1)</f>
        <v>43363</v>
      </c>
      <c r="C79" s="52" t="n">
        <f aca="false">F78</f>
        <v>-8039.92442050952</v>
      </c>
      <c r="D79" s="43" t="n">
        <f aca="false">C79*$E$102*(B79-B78)/365</f>
        <v>-51.2193343424946</v>
      </c>
      <c r="E79" s="52" t="n">
        <f aca="false">$E$70</f>
        <v>450</v>
      </c>
      <c r="F79" s="53" t="n">
        <f aca="false">SUM(C79:E79)</f>
        <v>-7641.14375485202</v>
      </c>
    </row>
    <row r="80" customFormat="false" ht="14.25" hidden="false" customHeight="false" outlineLevel="0" collapsed="false">
      <c r="A80" s="38" t="n">
        <f aca="false">A79+1</f>
        <v>7</v>
      </c>
      <c r="B80" s="42" t="n">
        <f aca="false">EDATE(B79,1)</f>
        <v>43393</v>
      </c>
      <c r="C80" s="52" t="n">
        <f aca="false">F79</f>
        <v>-7641.14375485202</v>
      </c>
      <c r="D80" s="43" t="n">
        <f aca="false">C80*$E$102*(B80-B79)/365</f>
        <v>-47.1085671475344</v>
      </c>
      <c r="E80" s="52" t="n">
        <f aca="false">$E$70</f>
        <v>450</v>
      </c>
      <c r="F80" s="53" t="n">
        <f aca="false">SUM(C80:E80)</f>
        <v>-7238.25232199955</v>
      </c>
    </row>
    <row r="81" customFormat="false" ht="14.25" hidden="false" customHeight="false" outlineLevel="0" collapsed="false">
      <c r="A81" s="38" t="n">
        <f aca="false">A80+1</f>
        <v>8</v>
      </c>
      <c r="B81" s="42" t="n">
        <f aca="false">EDATE(B80,1)</f>
        <v>43424</v>
      </c>
      <c r="C81" s="52" t="n">
        <f aca="false">F80</f>
        <v>-7238.25232199955</v>
      </c>
      <c r="D81" s="43" t="n">
        <f aca="false">C81*$E$102*(B81-B80)/365</f>
        <v>-46.1121829441697</v>
      </c>
      <c r="E81" s="52" t="n">
        <f aca="false">$E$70</f>
        <v>450</v>
      </c>
      <c r="F81" s="53" t="n">
        <f aca="false">SUM(C81:E81)</f>
        <v>-6834.36450494372</v>
      </c>
    </row>
    <row r="82" customFormat="false" ht="14.25" hidden="false" customHeight="false" outlineLevel="0" collapsed="false">
      <c r="A82" s="38" t="n">
        <f aca="false">A81+1</f>
        <v>9</v>
      </c>
      <c r="B82" s="42" t="n">
        <f aca="false">EDATE(B81,1)</f>
        <v>43454</v>
      </c>
      <c r="C82" s="52" t="n">
        <f aca="false">F81</f>
        <v>-6834.36450494372</v>
      </c>
      <c r="D82" s="43" t="n">
        <f aca="false">C82*$E$102*(B82-B81)/365</f>
        <v>-42.1346763679755</v>
      </c>
      <c r="E82" s="52" t="n">
        <f aca="false">$E$70</f>
        <v>450</v>
      </c>
      <c r="F82" s="53" t="n">
        <f aca="false">SUM(C82:E82)</f>
        <v>-6426.4991813117</v>
      </c>
    </row>
    <row r="83" customFormat="false" ht="14.25" hidden="false" customHeight="false" outlineLevel="0" collapsed="false">
      <c r="A83" s="38" t="n">
        <f aca="false">A82+1</f>
        <v>10</v>
      </c>
      <c r="B83" s="42" t="n">
        <f aca="false">EDATE(B82,1)</f>
        <v>43485</v>
      </c>
      <c r="C83" s="52" t="n">
        <f aca="false">F82</f>
        <v>-6426.4991813117</v>
      </c>
      <c r="D83" s="43" t="n">
        <f aca="false">C83*$E$102*(B83-B82)/365</f>
        <v>-40.940809018017</v>
      </c>
      <c r="E83" s="52" t="n">
        <f aca="false">$E$70</f>
        <v>450</v>
      </c>
      <c r="F83" s="53" t="n">
        <f aca="false">SUM(C83:E83)</f>
        <v>-6017.43999032971</v>
      </c>
    </row>
    <row r="84" customFormat="false" ht="14.25" hidden="false" customHeight="false" outlineLevel="0" collapsed="false">
      <c r="A84" s="38" t="n">
        <f aca="false">A83+1</f>
        <v>11</v>
      </c>
      <c r="B84" s="42" t="n">
        <f aca="false">EDATE(B83,1)</f>
        <v>43516</v>
      </c>
      <c r="C84" s="52" t="n">
        <f aca="false">F83</f>
        <v>-6017.43999032971</v>
      </c>
      <c r="D84" s="43" t="n">
        <f aca="false">C84*$E$102*(B84-B83)/365</f>
        <v>-38.3348467759679</v>
      </c>
      <c r="E84" s="52" t="n">
        <f aca="false">$E$70</f>
        <v>450</v>
      </c>
      <c r="F84" s="53" t="n">
        <f aca="false">SUM(C84:E84)</f>
        <v>-5605.77483710568</v>
      </c>
    </row>
    <row r="85" customFormat="false" ht="14.25" hidden="false" customHeight="false" outlineLevel="0" collapsed="false">
      <c r="A85" s="38" t="n">
        <f aca="false">A84+1</f>
        <v>12</v>
      </c>
      <c r="B85" s="42" t="n">
        <f aca="false">EDATE(B84,1)</f>
        <v>43544</v>
      </c>
      <c r="C85" s="52" t="n">
        <f aca="false">F84</f>
        <v>-5605.77483710568</v>
      </c>
      <c r="D85" s="43" t="n">
        <f aca="false">C85*$E$102*(B85-B84)/365</f>
        <v>-32.2562555484873</v>
      </c>
      <c r="E85" s="52" t="n">
        <f aca="false">$E$70</f>
        <v>450</v>
      </c>
      <c r="F85" s="53" t="n">
        <f aca="false">SUM(C85:E85)</f>
        <v>-5188.03109265417</v>
      </c>
    </row>
    <row r="86" customFormat="false" ht="14.25" hidden="false" customHeight="false" outlineLevel="0" collapsed="false">
      <c r="A86" s="38" t="n">
        <f aca="false">A85+1</f>
        <v>13</v>
      </c>
      <c r="B86" s="42" t="n">
        <f aca="false">EDATE(B85,1)</f>
        <v>43575</v>
      </c>
      <c r="C86" s="52" t="n">
        <f aca="false">F85</f>
        <v>-5188.03109265417</v>
      </c>
      <c r="D86" s="43" t="n">
        <f aca="false">C86*$E$102*(B86-B85)/365</f>
        <v>-33.0509946630905</v>
      </c>
      <c r="E86" s="52" t="n">
        <f aca="false">$E$70</f>
        <v>450</v>
      </c>
      <c r="F86" s="53" t="n">
        <f aca="false">SUM(C86:E86)</f>
        <v>-4771.08208731726</v>
      </c>
    </row>
    <row r="87" customFormat="false" ht="14.25" hidden="false" customHeight="false" outlineLevel="0" collapsed="false">
      <c r="A87" s="38" t="n">
        <f aca="false">A86+1</f>
        <v>14</v>
      </c>
      <c r="B87" s="42" t="n">
        <f aca="false">EDATE(B86,1)</f>
        <v>43605</v>
      </c>
      <c r="C87" s="52" t="n">
        <f aca="false">F86</f>
        <v>-4771.08208731726</v>
      </c>
      <c r="D87" s="43" t="n">
        <f aca="false">C87*$E$102*(B87-B86)/365</f>
        <v>-29.4142929498041</v>
      </c>
      <c r="E87" s="52" t="n">
        <f aca="false">$E$70</f>
        <v>450</v>
      </c>
      <c r="F87" s="53" t="n">
        <f aca="false">SUM(C87:E87)</f>
        <v>-4350.49638026706</v>
      </c>
    </row>
    <row r="88" customFormat="false" ht="14.25" hidden="false" customHeight="false" outlineLevel="0" collapsed="false">
      <c r="A88" s="38" t="n">
        <f aca="false">A87+1</f>
        <v>15</v>
      </c>
      <c r="B88" s="42" t="n">
        <f aca="false">EDATE(B87,1)</f>
        <v>43636</v>
      </c>
      <c r="C88" s="52" t="n">
        <f aca="false">F87</f>
        <v>-4350.49638026706</v>
      </c>
      <c r="D88" s="43" t="n">
        <f aca="false">C88*$E$102*(B88-B87)/365</f>
        <v>-27.7153760411332</v>
      </c>
      <c r="E88" s="52" t="n">
        <f aca="false">$E$70</f>
        <v>450</v>
      </c>
      <c r="F88" s="53" t="n">
        <f aca="false">SUM(C88:E88)</f>
        <v>-3928.2117563082</v>
      </c>
    </row>
    <row r="89" customFormat="false" ht="14.25" hidden="false" customHeight="false" outlineLevel="0" collapsed="false">
      <c r="A89" s="38" t="n">
        <f aca="false">A88+1</f>
        <v>16</v>
      </c>
      <c r="B89" s="42" t="n">
        <f aca="false">EDATE(B88,1)</f>
        <v>43666</v>
      </c>
      <c r="C89" s="52" t="n">
        <f aca="false">F88</f>
        <v>-3928.2117563082</v>
      </c>
      <c r="D89" s="43" t="n">
        <f aca="false">C89*$E$102*(B89-B88)/365</f>
        <v>-24.2178963292338</v>
      </c>
      <c r="E89" s="52" t="n">
        <f aca="false">$E$70</f>
        <v>450</v>
      </c>
      <c r="F89" s="53" t="n">
        <f aca="false">SUM(C89:E89)</f>
        <v>-3502.42965263743</v>
      </c>
    </row>
    <row r="90" customFormat="false" ht="14.25" hidden="false" customHeight="false" outlineLevel="0" collapsed="false">
      <c r="A90" s="38" t="n">
        <f aca="false">A89+1</f>
        <v>17</v>
      </c>
      <c r="B90" s="42" t="n">
        <f aca="false">EDATE(B89,1)</f>
        <v>43697</v>
      </c>
      <c r="C90" s="52" t="n">
        <f aca="false">F89</f>
        <v>-3502.42965263743</v>
      </c>
      <c r="D90" s="43" t="n">
        <f aca="false">C90*$E$102*(B90-B89)/365</f>
        <v>-22.3126619115824</v>
      </c>
      <c r="E90" s="52" t="n">
        <f aca="false">$E$70</f>
        <v>450</v>
      </c>
      <c r="F90" s="53" t="n">
        <f aca="false">SUM(C90:E90)</f>
        <v>-3074.74231454901</v>
      </c>
    </row>
    <row r="91" customFormat="false" ht="14.25" hidden="false" customHeight="false" outlineLevel="0" collapsed="false">
      <c r="A91" s="38" t="n">
        <f aca="false">A90+1</f>
        <v>18</v>
      </c>
      <c r="B91" s="42" t="n">
        <f aca="false">EDATE(B90,1)</f>
        <v>43728</v>
      </c>
      <c r="C91" s="52" t="n">
        <f aca="false">F90</f>
        <v>-3074.74231454901</v>
      </c>
      <c r="D91" s="43" t="n">
        <f aca="false">C91*$E$102*(B91-B90)/365</f>
        <v>-19.5880267511173</v>
      </c>
      <c r="E91" s="52" t="n">
        <f aca="false">$E$70</f>
        <v>450</v>
      </c>
      <c r="F91" s="53" t="n">
        <f aca="false">SUM(C91:E91)</f>
        <v>-2644.33034130013</v>
      </c>
    </row>
    <row r="92" customFormat="false" ht="14.25" hidden="false" customHeight="false" outlineLevel="0" collapsed="false">
      <c r="A92" s="38" t="n">
        <f aca="false">A91+1</f>
        <v>19</v>
      </c>
      <c r="B92" s="42" t="n">
        <f aca="false">EDATE(B91,1)</f>
        <v>43758</v>
      </c>
      <c r="C92" s="52" t="n">
        <f aca="false">F91</f>
        <v>-2644.33034130013</v>
      </c>
      <c r="D92" s="43" t="n">
        <f aca="false">C92*$E$102*(B92-B91)/365</f>
        <v>-16.3026135144099</v>
      </c>
      <c r="E92" s="52" t="n">
        <f aca="false">$E$70</f>
        <v>450</v>
      </c>
      <c r="F92" s="53" t="n">
        <f aca="false">SUM(C92:E92)</f>
        <v>-2210.63295481454</v>
      </c>
    </row>
    <row r="93" customFormat="false" ht="14.25" hidden="false" customHeight="false" outlineLevel="0" collapsed="false">
      <c r="A93" s="38" t="n">
        <f aca="false">A92+1</f>
        <v>20</v>
      </c>
      <c r="B93" s="42" t="n">
        <f aca="false">EDATE(B92,1)</f>
        <v>43789</v>
      </c>
      <c r="C93" s="52" t="n">
        <f aca="false">F92</f>
        <v>-2210.63295481454</v>
      </c>
      <c r="D93" s="43" t="n">
        <f aca="false">C93*$E$102*(B93-B92)/365</f>
        <v>-14.0831110467089</v>
      </c>
      <c r="E93" s="52" t="n">
        <f aca="false">$E$70</f>
        <v>450</v>
      </c>
      <c r="F93" s="53" t="n">
        <f aca="false">SUM(C93:E93)</f>
        <v>-1774.71606586125</v>
      </c>
    </row>
    <row r="94" customFormat="false" ht="14.25" hidden="false" customHeight="false" outlineLevel="0" collapsed="false">
      <c r="A94" s="38" t="n">
        <f aca="false">A93+1</f>
        <v>21</v>
      </c>
      <c r="B94" s="42" t="n">
        <f aca="false">EDATE(B93,1)</f>
        <v>43819</v>
      </c>
      <c r="C94" s="52" t="n">
        <f aca="false">F93</f>
        <v>-1774.71606586125</v>
      </c>
      <c r="D94" s="43" t="n">
        <f aca="false">C94*$E$102*(B94-B93)/365</f>
        <v>-10.9413372707908</v>
      </c>
      <c r="E94" s="52" t="n">
        <f aca="false">$E$70</f>
        <v>450</v>
      </c>
      <c r="F94" s="53" t="n">
        <f aca="false">SUM(C94:E94)</f>
        <v>-1335.65740313204</v>
      </c>
    </row>
    <row r="95" customFormat="false" ht="14.25" hidden="false" customHeight="false" outlineLevel="0" collapsed="false">
      <c r="A95" s="38" t="n">
        <f aca="false">A94+1</f>
        <v>22</v>
      </c>
      <c r="B95" s="42" t="n">
        <f aca="false">EDATE(B94,1)</f>
        <v>43850</v>
      </c>
      <c r="C95" s="52" t="n">
        <f aca="false">F94</f>
        <v>-1335.65740313204</v>
      </c>
      <c r="D95" s="43" t="n">
        <f aca="false">C95*$E$102*(B95-B94)/365</f>
        <v>-8.50897092061377</v>
      </c>
      <c r="E95" s="52" t="n">
        <f aca="false">$E$70</f>
        <v>450</v>
      </c>
      <c r="F95" s="53" t="n">
        <f aca="false">SUM(C95:E95)</f>
        <v>-894.166374052655</v>
      </c>
    </row>
    <row r="96" customFormat="false" ht="14.25" hidden="false" customHeight="false" outlineLevel="0" collapsed="false">
      <c r="A96" s="38" t="n">
        <f aca="false">A95+1</f>
        <v>23</v>
      </c>
      <c r="B96" s="42" t="n">
        <f aca="false">EDATE(B95,1)</f>
        <v>43881</v>
      </c>
      <c r="C96" s="52" t="n">
        <f aca="false">F95</f>
        <v>-894.166374052655</v>
      </c>
      <c r="D96" s="43" t="n">
        <f aca="false">C96*$E$102*(B96-B95)/365</f>
        <v>-5.69639763697139</v>
      </c>
      <c r="E96" s="52" t="n">
        <f aca="false">$E$70</f>
        <v>450</v>
      </c>
      <c r="F96" s="53" t="n">
        <f aca="false">SUM(C96:E96)</f>
        <v>-449.862771689626</v>
      </c>
    </row>
    <row r="97" customFormat="false" ht="14.25" hidden="false" customHeight="false" outlineLevel="0" collapsed="false">
      <c r="A97" s="38" t="n">
        <f aca="false">A96+1</f>
        <v>24</v>
      </c>
      <c r="B97" s="42" t="n">
        <f aca="false">EDATE(B96,1)</f>
        <v>43910</v>
      </c>
      <c r="C97" s="52" t="n">
        <f aca="false">F96</f>
        <v>-449.862771689626</v>
      </c>
      <c r="D97" s="43" t="n">
        <f aca="false">C97*$E$102*(B97-B96)/365</f>
        <v>-2.68100931287036</v>
      </c>
      <c r="E97" s="52" t="n">
        <f aca="false">$E$70</f>
        <v>450</v>
      </c>
      <c r="F97" s="53" t="n">
        <f aca="false">SUM(C97:E97)</f>
        <v>-2.54378100249659</v>
      </c>
      <c r="H97" s="17" t="s">
        <v>30</v>
      </c>
    </row>
    <row r="99" customFormat="false" ht="14.25" hidden="false" customHeight="false" outlineLevel="0" collapsed="false">
      <c r="A99" s="46" t="s">
        <v>25</v>
      </c>
      <c r="B99" s="47"/>
      <c r="C99" s="47"/>
      <c r="D99" s="48" t="n">
        <f aca="false">SUM(D73:D97)</f>
        <v>-802.543781002497</v>
      </c>
      <c r="E99" s="49" t="n">
        <f aca="false">SUM(E73:E97)</f>
        <v>800</v>
      </c>
      <c r="F99" s="54"/>
    </row>
    <row r="101" customFormat="false" ht="14.25" hidden="false" customHeight="false" outlineLevel="0" collapsed="false">
      <c r="B101" s="14" t="s">
        <v>31</v>
      </c>
      <c r="E101" s="55" t="n">
        <f aca="false">IRR(E73:E97)</f>
        <v>0.00625074652888614</v>
      </c>
    </row>
    <row r="102" customFormat="false" ht="14.25" hidden="false" customHeight="false" outlineLevel="0" collapsed="false">
      <c r="B102" s="14" t="s">
        <v>32</v>
      </c>
      <c r="E102" s="56" t="n">
        <f aca="false">E101*12</f>
        <v>0.0750089583466336</v>
      </c>
      <c r="F102" s="17" t="s">
        <v>33</v>
      </c>
    </row>
    <row r="105" customFormat="false" ht="14.25" hidden="false" customHeight="false" outlineLevel="0" collapsed="false">
      <c r="A105" s="17"/>
      <c r="B105" s="14" t="s">
        <v>34</v>
      </c>
      <c r="E105" s="34" t="n">
        <f aca="false">E73+NPV($E$106/12,E74:E97)</f>
        <v>362.712873273948</v>
      </c>
      <c r="F105" s="17" t="s">
        <v>35</v>
      </c>
    </row>
    <row r="106" customFormat="false" ht="14.25" hidden="false" customHeight="false" outlineLevel="0" collapsed="false">
      <c r="B106" s="14" t="s">
        <v>36</v>
      </c>
      <c r="E106" s="32" t="n">
        <v>0.04</v>
      </c>
    </row>
    <row r="108" customFormat="false" ht="14.25" hidden="false" customHeight="false" outlineLevel="0" collapsed="false">
      <c r="A108" s="15"/>
      <c r="B108" s="16" t="s">
        <v>37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10" customFormat="false" ht="14.25" hidden="false" customHeight="false" outlineLevel="0" collapsed="false">
      <c r="A110" s="17" t="s">
        <v>38</v>
      </c>
    </row>
    <row r="111" customFormat="false" ht="14.25" hidden="false" customHeight="false" outlineLevel="0" collapsed="false">
      <c r="B111" s="57" t="s">
        <v>39</v>
      </c>
    </row>
    <row r="112" customFormat="false" ht="14.25" hidden="false" customHeight="false" outlineLevel="0" collapsed="false">
      <c r="B112" s="14" t="s">
        <v>40</v>
      </c>
      <c r="E112" s="40" t="n">
        <v>5000</v>
      </c>
    </row>
    <row r="113" customFormat="false" ht="14.25" hidden="false" customHeight="false" outlineLevel="0" collapsed="false">
      <c r="A113" s="58"/>
      <c r="B113" s="58" t="s">
        <v>41</v>
      </c>
      <c r="C113" s="58"/>
      <c r="D113" s="58"/>
      <c r="E113" s="59" t="n">
        <v>20</v>
      </c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</row>
    <row r="114" customFormat="false" ht="14.25" hidden="false" customHeight="false" outlineLevel="0" collapsed="false">
      <c r="A114" s="58"/>
      <c r="B114" s="58" t="s">
        <v>42</v>
      </c>
      <c r="C114" s="58"/>
      <c r="D114" s="58"/>
      <c r="E114" s="59" t="n">
        <v>2</v>
      </c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</row>
    <row r="115" customFormat="false" ht="14.25" hidden="false" customHeight="false" outlineLevel="0" collapsed="false">
      <c r="A115" s="58"/>
      <c r="B115" s="58" t="s">
        <v>43</v>
      </c>
      <c r="C115" s="58"/>
      <c r="D115" s="58"/>
      <c r="E115" s="40" t="n">
        <v>0</v>
      </c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</row>
    <row r="116" customFormat="false" ht="14.25" hidden="false" customHeight="false" outlineLevel="0" collapsed="false">
      <c r="A116" s="58"/>
      <c r="B116" s="60" t="s">
        <v>44</v>
      </c>
      <c r="C116" s="60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</row>
    <row r="117" customFormat="false" ht="14.25" hidden="false" customHeight="fals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</row>
    <row r="118" customFormat="false" ht="14.25" hidden="false" customHeight="false" outlineLevel="0" collapsed="false">
      <c r="A118" s="58"/>
      <c r="B118" s="61" t="s">
        <v>45</v>
      </c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</row>
    <row r="119" customFormat="false" ht="14.25" hidden="false" customHeight="false" outlineLevel="0" collapsed="false">
      <c r="A119" s="58"/>
      <c r="B119" s="61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</row>
    <row r="120" customFormat="false" ht="14.25" hidden="false" customHeight="false" outlineLevel="0" collapsed="false">
      <c r="A120" s="58"/>
      <c r="B120" s="62" t="s">
        <v>46</v>
      </c>
      <c r="C120" s="62"/>
      <c r="D120" s="62"/>
      <c r="E120" s="62"/>
      <c r="F120" s="63" t="n">
        <v>1</v>
      </c>
      <c r="G120" s="63" t="n">
        <f aca="false">F120+1</f>
        <v>2</v>
      </c>
      <c r="H120" s="63" t="n">
        <f aca="false">G120+1</f>
        <v>3</v>
      </c>
      <c r="I120" s="63" t="n">
        <f aca="false">H120+1</f>
        <v>4</v>
      </c>
      <c r="J120" s="63" t="n">
        <f aca="false">I120+1</f>
        <v>5</v>
      </c>
      <c r="K120" s="63" t="n">
        <f aca="false">J120+1</f>
        <v>6</v>
      </c>
      <c r="L120" s="63" t="n">
        <f aca="false">K120+1</f>
        <v>7</v>
      </c>
      <c r="M120" s="63" t="n">
        <f aca="false">L120+1</f>
        <v>8</v>
      </c>
      <c r="N120" s="63" t="n">
        <f aca="false">M120+1</f>
        <v>9</v>
      </c>
      <c r="O120" s="63" t="n">
        <f aca="false">N120+1</f>
        <v>10</v>
      </c>
      <c r="P120" s="63" t="n">
        <f aca="false">O120+1</f>
        <v>11</v>
      </c>
      <c r="Q120" s="63" t="n">
        <f aca="false">P120+1</f>
        <v>12</v>
      </c>
      <c r="R120" s="63" t="n">
        <f aca="false">Q120+1</f>
        <v>13</v>
      </c>
      <c r="S120" s="63" t="n">
        <f aca="false">R120+1</f>
        <v>14</v>
      </c>
      <c r="T120" s="63" t="n">
        <f aca="false">S120+1</f>
        <v>15</v>
      </c>
    </row>
    <row r="121" customFormat="false" ht="14.25" hidden="false" customHeight="false" outlineLevel="0" collapsed="false">
      <c r="A121" s="58"/>
      <c r="B121" s="58" t="s">
        <v>19</v>
      </c>
      <c r="C121" s="58"/>
      <c r="D121" s="58"/>
      <c r="E121" s="58"/>
      <c r="F121" s="64" t="n">
        <f aca="false">$E$112</f>
        <v>5000</v>
      </c>
      <c r="G121" s="58" t="n">
        <f aca="false">F123</f>
        <v>4500</v>
      </c>
      <c r="H121" s="58" t="n">
        <f aca="false">G123</f>
        <v>4050</v>
      </c>
      <c r="I121" s="58" t="n">
        <f aca="false">H123</f>
        <v>3645</v>
      </c>
      <c r="J121" s="58" t="n">
        <f aca="false">I123</f>
        <v>3280.5</v>
      </c>
      <c r="K121" s="58" t="n">
        <f aca="false">J123</f>
        <v>2952.45</v>
      </c>
      <c r="L121" s="58" t="n">
        <f aca="false">K123</f>
        <v>2657.205</v>
      </c>
      <c r="M121" s="58" t="n">
        <f aca="false">L123</f>
        <v>2391.4845</v>
      </c>
      <c r="N121" s="58" t="n">
        <f aca="false">M123</f>
        <v>2152.33605</v>
      </c>
      <c r="O121" s="58" t="n">
        <f aca="false">N123</f>
        <v>1937.102445</v>
      </c>
      <c r="P121" s="58" t="n">
        <f aca="false">O123</f>
        <v>1743.3922005</v>
      </c>
      <c r="Q121" s="58" t="n">
        <f aca="false">P123</f>
        <v>1569.05298045</v>
      </c>
      <c r="R121" s="58" t="n">
        <f aca="false">Q123</f>
        <v>1412.147682405</v>
      </c>
      <c r="S121" s="58" t="n">
        <f aca="false">R123</f>
        <v>1270.9329141645</v>
      </c>
      <c r="T121" s="58" t="n">
        <f aca="false">S123</f>
        <v>1143.83962274805</v>
      </c>
    </row>
    <row r="122" customFormat="false" ht="14.25" hidden="false" customHeight="false" outlineLevel="0" collapsed="false">
      <c r="A122" s="58"/>
      <c r="B122" s="58" t="s">
        <v>47</v>
      </c>
      <c r="C122" s="60"/>
      <c r="D122" s="58"/>
      <c r="E122" s="58"/>
      <c r="F122" s="65" t="n">
        <f aca="false">-DDB($E$112,$E$115,$E$113,F120,$E$114)</f>
        <v>-500</v>
      </c>
      <c r="G122" s="65" t="n">
        <f aca="false">-DDB($E$112,$E$115,$E$113,G120,$E$114)</f>
        <v>-450</v>
      </c>
      <c r="H122" s="65" t="n">
        <f aca="false">-DDB($E$112,$E$115,$E$113,H120,$E$114)</f>
        <v>-405</v>
      </c>
      <c r="I122" s="65" t="n">
        <f aca="false">-DDB($E$112,$E$115,$E$113,I120,$E$114)</f>
        <v>-364.5</v>
      </c>
      <c r="J122" s="65" t="n">
        <f aca="false">-DDB($E$112,$E$115,$E$113,J120,$E$114)</f>
        <v>-328.05</v>
      </c>
      <c r="K122" s="65" t="n">
        <f aca="false">-DDB($E$112,$E$115,$E$113,K120,$E$114)</f>
        <v>-295.245</v>
      </c>
      <c r="L122" s="65" t="n">
        <f aca="false">-DDB($E$112,$E$115,$E$113,L120,$E$114)</f>
        <v>-265.7205</v>
      </c>
      <c r="M122" s="65" t="n">
        <f aca="false">-DDB($E$112,$E$115,$E$113,M120,$E$114)</f>
        <v>-239.14845</v>
      </c>
      <c r="N122" s="65" t="n">
        <f aca="false">-DDB($E$112,$E$115,$E$113,N120,$E$114)</f>
        <v>-215.233605</v>
      </c>
      <c r="O122" s="65" t="n">
        <f aca="false">-DDB($E$112,$E$115,$E$113,O120,$E$114)</f>
        <v>-193.7102445</v>
      </c>
      <c r="P122" s="65" t="n">
        <f aca="false">-DDB($E$112,$E$115,$E$113,P120,$E$114)</f>
        <v>-174.33922005</v>
      </c>
      <c r="Q122" s="65" t="n">
        <f aca="false">-DDB($E$112,$E$115,$E$113,Q120,$E$114)</f>
        <v>-156.905298045</v>
      </c>
      <c r="R122" s="65" t="n">
        <f aca="false">-DDB($E$112,$E$115,$E$113,R120,$E$114)</f>
        <v>-141.2147682405</v>
      </c>
      <c r="S122" s="65" t="n">
        <f aca="false">-DDB($E$112,$E$115,$E$113,S120,$E$114)</f>
        <v>-127.09329141645</v>
      </c>
      <c r="T122" s="65" t="n">
        <f aca="false">-DDB($E$112,$E$115,$E$113,T120,$E$114)</f>
        <v>-114.383962274805</v>
      </c>
    </row>
    <row r="123" customFormat="false" ht="14.25" hidden="false" customHeight="false" outlineLevel="0" collapsed="false">
      <c r="A123" s="58"/>
      <c r="B123" s="58" t="s">
        <v>24</v>
      </c>
      <c r="C123" s="58"/>
      <c r="D123" s="58"/>
      <c r="E123" s="58"/>
      <c r="F123" s="58" t="n">
        <f aca="false">SUM(F121:F122)</f>
        <v>4500</v>
      </c>
      <c r="G123" s="58" t="n">
        <f aca="false">SUM(G121:G122)</f>
        <v>4050</v>
      </c>
      <c r="H123" s="58" t="n">
        <f aca="false">SUM(H121:H122)</f>
        <v>3645</v>
      </c>
      <c r="I123" s="58" t="n">
        <f aca="false">SUM(I121:I122)</f>
        <v>3280.5</v>
      </c>
      <c r="J123" s="58" t="n">
        <f aca="false">SUM(J121:J122)</f>
        <v>2952.45</v>
      </c>
      <c r="K123" s="58" t="n">
        <f aca="false">SUM(K121:K122)</f>
        <v>2657.205</v>
      </c>
      <c r="L123" s="58" t="n">
        <f aca="false">SUM(L121:L122)</f>
        <v>2391.4845</v>
      </c>
      <c r="M123" s="58" t="n">
        <f aca="false">SUM(M121:M122)</f>
        <v>2152.33605</v>
      </c>
      <c r="N123" s="58" t="n">
        <f aca="false">SUM(N121:N122)</f>
        <v>1937.102445</v>
      </c>
      <c r="O123" s="58" t="n">
        <f aca="false">SUM(O121:O122)</f>
        <v>1743.3922005</v>
      </c>
      <c r="P123" s="58" t="n">
        <f aca="false">SUM(P121:P122)</f>
        <v>1569.05298045</v>
      </c>
      <c r="Q123" s="58" t="n">
        <f aca="false">SUM(Q121:Q122)</f>
        <v>1412.147682405</v>
      </c>
      <c r="R123" s="58" t="n">
        <f aca="false">SUM(R121:R122)</f>
        <v>1270.9329141645</v>
      </c>
      <c r="S123" s="58" t="n">
        <f aca="false">SUM(S121:S122)</f>
        <v>1143.83962274805</v>
      </c>
      <c r="T123" s="58" t="n">
        <f aca="false">SUM(T121:T122)</f>
        <v>1029.45566047325</v>
      </c>
    </row>
    <row r="124" customFormat="false" ht="14.25" hidden="false" customHeight="fals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</row>
    <row r="125" customFormat="false" ht="14.25" hidden="false" customHeight="false" outlineLevel="0" collapsed="false">
      <c r="A125" s="58"/>
      <c r="B125" s="58" t="s">
        <v>48</v>
      </c>
      <c r="C125" s="58"/>
      <c r="D125" s="58"/>
      <c r="E125" s="65" t="n">
        <f aca="false">SUM(O122:T122)</f>
        <v>-907.646784526755</v>
      </c>
      <c r="F125" s="60" t="s">
        <v>49</v>
      </c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</row>
    <row r="126" customFormat="false" ht="14.25" hidden="false" customHeight="fals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</row>
    <row r="127" customFormat="false" ht="14.25" hidden="false" customHeight="false" outlineLevel="0" collapsed="false">
      <c r="A127" s="58"/>
      <c r="B127" s="60" t="s">
        <v>50</v>
      </c>
      <c r="C127" s="60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</row>
    <row r="129" customFormat="false" ht="14.25" hidden="false" customHeight="false" outlineLevel="0" collapsed="false">
      <c r="B129" s="14" t="s">
        <v>51</v>
      </c>
      <c r="E129" s="40" t="n">
        <v>1500</v>
      </c>
    </row>
    <row r="130" customFormat="false" ht="14.25" hidden="false" customHeight="false" outlineLevel="0" collapsed="false">
      <c r="B130" s="14" t="s">
        <v>52</v>
      </c>
      <c r="E130" s="59" t="n">
        <v>5</v>
      </c>
    </row>
    <row r="132" customFormat="false" ht="14.25" hidden="false" customHeight="false" outlineLevel="0" collapsed="false">
      <c r="A132" s="58"/>
      <c r="B132" s="61" t="s">
        <v>45</v>
      </c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</row>
    <row r="133" customFormat="false" ht="14.25" hidden="false" customHeight="false" outlineLevel="0" collapsed="false">
      <c r="A133" s="58"/>
      <c r="B133" s="61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</row>
    <row r="134" customFormat="false" ht="14.25" hidden="false" customHeight="false" outlineLevel="0" collapsed="false">
      <c r="A134" s="58"/>
      <c r="B134" s="62" t="s">
        <v>46</v>
      </c>
      <c r="C134" s="62"/>
      <c r="D134" s="62"/>
      <c r="E134" s="62"/>
      <c r="F134" s="63" t="n">
        <v>1</v>
      </c>
      <c r="G134" s="63" t="n">
        <f aca="false">F134+1</f>
        <v>2</v>
      </c>
      <c r="H134" s="63" t="n">
        <f aca="false">G134+1</f>
        <v>3</v>
      </c>
      <c r="I134" s="63" t="n">
        <f aca="false">H134+1</f>
        <v>4</v>
      </c>
      <c r="J134" s="63" t="n">
        <f aca="false">I134+1</f>
        <v>5</v>
      </c>
      <c r="K134" s="63" t="n">
        <f aca="false">J134+1</f>
        <v>6</v>
      </c>
      <c r="L134" s="63" t="n">
        <f aca="false">K134+1</f>
        <v>7</v>
      </c>
      <c r="M134" s="63" t="n">
        <f aca="false">L134+1</f>
        <v>8</v>
      </c>
      <c r="N134" s="63" t="n">
        <f aca="false">M134+1</f>
        <v>9</v>
      </c>
      <c r="O134" s="63" t="n">
        <f aca="false">N134+1</f>
        <v>10</v>
      </c>
      <c r="P134" s="63" t="n">
        <f aca="false">O134+1</f>
        <v>11</v>
      </c>
      <c r="Q134" s="63" t="n">
        <f aca="false">P134+1</f>
        <v>12</v>
      </c>
      <c r="R134" s="63" t="n">
        <f aca="false">Q134+1</f>
        <v>13</v>
      </c>
      <c r="S134" s="63" t="n">
        <f aca="false">R134+1</f>
        <v>14</v>
      </c>
      <c r="T134" s="63" t="n">
        <f aca="false">S134+1</f>
        <v>15</v>
      </c>
    </row>
    <row r="135" customFormat="false" ht="14.25" hidden="false" customHeight="false" outlineLevel="0" collapsed="false">
      <c r="A135" s="58"/>
      <c r="B135" s="58" t="s">
        <v>19</v>
      </c>
      <c r="C135" s="58"/>
      <c r="D135" s="58"/>
      <c r="E135" s="58"/>
      <c r="F135" s="64" t="n">
        <f aca="false">$E$112</f>
        <v>5000</v>
      </c>
      <c r="G135" s="58" t="n">
        <f aca="false">F138</f>
        <v>4500</v>
      </c>
      <c r="H135" s="58" t="n">
        <f aca="false">G138</f>
        <v>4050</v>
      </c>
      <c r="I135" s="58" t="n">
        <f aca="false">H138</f>
        <v>3645</v>
      </c>
      <c r="J135" s="58" t="n">
        <f aca="false">I138</f>
        <v>3280.5</v>
      </c>
      <c r="K135" s="58" t="n">
        <f aca="false">J138</f>
        <v>4452.45</v>
      </c>
      <c r="L135" s="58" t="n">
        <f aca="false">K138</f>
        <v>4007.205</v>
      </c>
      <c r="M135" s="58" t="n">
        <f aca="false">L138</f>
        <v>3606.4845</v>
      </c>
      <c r="N135" s="58" t="n">
        <f aca="false">M138</f>
        <v>3245.83605</v>
      </c>
      <c r="O135" s="58" t="n">
        <f aca="false">N138</f>
        <v>2921.252445</v>
      </c>
      <c r="P135" s="58" t="n">
        <f aca="false">O138</f>
        <v>2629.1272005</v>
      </c>
      <c r="Q135" s="58" t="n">
        <f aca="false">P138</f>
        <v>2366.21448045</v>
      </c>
      <c r="R135" s="58" t="n">
        <f aca="false">Q138</f>
        <v>2129.593032405</v>
      </c>
      <c r="S135" s="58" t="n">
        <f aca="false">R138</f>
        <v>1916.6337291645</v>
      </c>
      <c r="T135" s="58" t="n">
        <f aca="false">S138</f>
        <v>1724.97035624805</v>
      </c>
    </row>
    <row r="136" customFormat="false" ht="14.25" hidden="false" customHeight="false" outlineLevel="0" collapsed="false">
      <c r="A136" s="58"/>
      <c r="B136" s="58" t="s">
        <v>53</v>
      </c>
      <c r="C136" s="58"/>
      <c r="D136" s="58"/>
      <c r="E136" s="58"/>
      <c r="F136" s="65" t="n">
        <f aca="false">IF(F134=$E$130,$E$129,0)</f>
        <v>0</v>
      </c>
      <c r="G136" s="65" t="n">
        <f aca="false">IF(G134=$E$130,$E$129,0)</f>
        <v>0</v>
      </c>
      <c r="H136" s="65" t="n">
        <f aca="false">IF(H134=$E$130,$E$129,0)</f>
        <v>0</v>
      </c>
      <c r="I136" s="65" t="n">
        <f aca="false">IF(I134=$E$130,$E$129,0)</f>
        <v>0</v>
      </c>
      <c r="J136" s="65" t="n">
        <f aca="false">IF(J134=$E$130,$E$129,0)</f>
        <v>1500</v>
      </c>
      <c r="K136" s="65" t="n">
        <f aca="false">IF(K134=$E$130,$E$129,0)</f>
        <v>0</v>
      </c>
      <c r="L136" s="65" t="n">
        <f aca="false">IF(L134=$E$130,$E$129,0)</f>
        <v>0</v>
      </c>
      <c r="M136" s="65" t="n">
        <f aca="false">IF(M134=$E$130,$E$129,0)</f>
        <v>0</v>
      </c>
      <c r="N136" s="65" t="n">
        <f aca="false">IF(N134=$E$130,$E$129,0)</f>
        <v>0</v>
      </c>
      <c r="O136" s="65" t="n">
        <f aca="false">IF(O134=$E$130,$E$129,0)</f>
        <v>0</v>
      </c>
      <c r="P136" s="65" t="n">
        <f aca="false">IF(P134=$E$130,$E$129,0)</f>
        <v>0</v>
      </c>
      <c r="Q136" s="65" t="n">
        <f aca="false">IF(Q134=$E$130,$E$129,0)</f>
        <v>0</v>
      </c>
      <c r="R136" s="65" t="n">
        <f aca="false">IF(R134=$E$130,$E$129,0)</f>
        <v>0</v>
      </c>
      <c r="S136" s="65" t="n">
        <f aca="false">IF(S134=$E$130,$E$129,0)</f>
        <v>0</v>
      </c>
      <c r="T136" s="65" t="n">
        <f aca="false">IF(T134=$E$130,$E$129,0)</f>
        <v>0</v>
      </c>
    </row>
    <row r="137" customFormat="false" ht="14.25" hidden="false" customHeight="false" outlineLevel="0" collapsed="false">
      <c r="A137" s="58"/>
      <c r="B137" s="58" t="s">
        <v>47</v>
      </c>
      <c r="C137" s="60"/>
      <c r="D137" s="58"/>
      <c r="E137" s="58"/>
      <c r="F137" s="65" t="n">
        <f aca="false">-1*F135*$E$114/$E$113</f>
        <v>-500</v>
      </c>
      <c r="G137" s="65" t="n">
        <f aca="false">-1*G135*$E$114/$E$113</f>
        <v>-450</v>
      </c>
      <c r="H137" s="65" t="n">
        <f aca="false">-1*H135*$E$114/$E$113</f>
        <v>-405</v>
      </c>
      <c r="I137" s="65" t="n">
        <f aca="false">-1*I135*$E$114/$E$113</f>
        <v>-364.5</v>
      </c>
      <c r="J137" s="65" t="n">
        <f aca="false">-1*J135*$E$114/$E$113</f>
        <v>-328.05</v>
      </c>
      <c r="K137" s="65" t="n">
        <f aca="false">-1*K135*$E$114/$E$113</f>
        <v>-445.245</v>
      </c>
      <c r="L137" s="65" t="n">
        <f aca="false">-1*L135*$E$114/$E$113</f>
        <v>-400.7205</v>
      </c>
      <c r="M137" s="65" t="n">
        <f aca="false">-1*M135*$E$114/$E$113</f>
        <v>-360.64845</v>
      </c>
      <c r="N137" s="65" t="n">
        <f aca="false">-1*N135*$E$114/$E$113</f>
        <v>-324.583605</v>
      </c>
      <c r="O137" s="65" t="n">
        <f aca="false">-1*O135*$E$114/$E$113</f>
        <v>-292.1252445</v>
      </c>
      <c r="P137" s="65" t="n">
        <f aca="false">-1*P135*$E$114/$E$113</f>
        <v>-262.91272005</v>
      </c>
      <c r="Q137" s="65" t="n">
        <f aca="false">-1*Q135*$E$114/$E$113</f>
        <v>-236.621448045</v>
      </c>
      <c r="R137" s="65" t="n">
        <f aca="false">-1*R135*$E$114/$E$113</f>
        <v>-212.9593032405</v>
      </c>
      <c r="S137" s="65" t="n">
        <f aca="false">-1*S135*$E$114/$E$113</f>
        <v>-191.66337291645</v>
      </c>
      <c r="T137" s="65" t="n">
        <f aca="false">-1*T135*$E$114/$E$113</f>
        <v>-172.497035624805</v>
      </c>
    </row>
    <row r="138" customFormat="false" ht="14.25" hidden="false" customHeight="false" outlineLevel="0" collapsed="false">
      <c r="A138" s="58"/>
      <c r="B138" s="58" t="s">
        <v>24</v>
      </c>
      <c r="C138" s="58"/>
      <c r="D138" s="58"/>
      <c r="E138" s="58"/>
      <c r="F138" s="58" t="n">
        <f aca="false">SUM(F135:F137)</f>
        <v>4500</v>
      </c>
      <c r="G138" s="58" t="n">
        <f aca="false">SUM(G135:G137)</f>
        <v>4050</v>
      </c>
      <c r="H138" s="58" t="n">
        <f aca="false">SUM(H135:H137)</f>
        <v>3645</v>
      </c>
      <c r="I138" s="58" t="n">
        <f aca="false">SUM(I135:I137)</f>
        <v>3280.5</v>
      </c>
      <c r="J138" s="58" t="n">
        <f aca="false">SUM(J135:J137)</f>
        <v>4452.45</v>
      </c>
      <c r="K138" s="58" t="n">
        <f aca="false">SUM(K135:K137)</f>
        <v>4007.205</v>
      </c>
      <c r="L138" s="58" t="n">
        <f aca="false">SUM(L135:L137)</f>
        <v>3606.4845</v>
      </c>
      <c r="M138" s="58" t="n">
        <f aca="false">SUM(M135:M137)</f>
        <v>3245.83605</v>
      </c>
      <c r="N138" s="58" t="n">
        <f aca="false">SUM(N135:N137)</f>
        <v>2921.252445</v>
      </c>
      <c r="O138" s="58" t="n">
        <f aca="false">SUM(O135:O137)</f>
        <v>2629.1272005</v>
      </c>
      <c r="P138" s="58" t="n">
        <f aca="false">SUM(P135:P137)</f>
        <v>2366.21448045</v>
      </c>
      <c r="Q138" s="58" t="n">
        <f aca="false">SUM(Q135:Q137)</f>
        <v>2129.593032405</v>
      </c>
      <c r="R138" s="58" t="n">
        <f aca="false">SUM(R135:R137)</f>
        <v>1916.6337291645</v>
      </c>
      <c r="S138" s="58" t="n">
        <f aca="false">SUM(S135:S137)</f>
        <v>1724.97035624805</v>
      </c>
      <c r="T138" s="58" t="n">
        <f aca="false">SUM(T135:T137)</f>
        <v>1552.47332062325</v>
      </c>
    </row>
    <row r="140" customFormat="false" ht="14.25" hidden="false" customHeight="false" outlineLevel="0" collapsed="false">
      <c r="B140" s="58" t="s">
        <v>48</v>
      </c>
      <c r="E140" s="65" t="n">
        <f aca="false">SUM(O137:T137)</f>
        <v>-1368.77912437676</v>
      </c>
      <c r="F140" s="60" t="s">
        <v>54</v>
      </c>
    </row>
    <row r="142" customFormat="false" ht="14.25" hidden="false" customHeight="false" outlineLevel="0" collapsed="false">
      <c r="A142" s="15"/>
      <c r="B142" s="16" t="s">
        <v>55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2017-08-25T02:34:34Z</dcterms:created>
  <dc:creator/>
  <dc:description/>
  <dc:language>en-US</dc:language>
  <cp:lastModifiedBy>Tim Keighley</cp:lastModifiedBy>
  <cp:lastPrinted>2017-11-05T04:32:04Z</cp:lastPrinted>
  <dcterms:modified xsi:type="dcterms:W3CDTF">2026-09-28T14:24:16Z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