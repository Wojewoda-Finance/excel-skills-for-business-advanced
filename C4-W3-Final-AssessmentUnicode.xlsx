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troduction" sheetId="1" state="visible" r:id="rId3"/>
    <sheet name="Data" sheetId="2" state="visible" r:id="rId4"/>
    <sheet name="Clean" sheetId="3" state="visible" r:id="rId5"/>
  </sheets>
  <definedNames>
    <definedName function="false" hidden="false" name="Check_Sum_Short" vbProcedure="false">IFERROR(SUM(_xlfn.UNICODE(Data!A$5:A$500))+SUM(LEN(Data!A$5:A$500)),0)</definedName>
    <definedName function="false" hidden="false" localSheetId="1" name="Check_Sum" vbProcedure="false">IFERROR(SUM(_xlfn.UNICODE(RIGHT(Data!A$5:A$500,5)))+SUM(_xlfn.UNICODE(MID(Data!A$5:A$500,12,1)))+SUM(LEN(Data!A$5:A$500)),0)</definedName>
    <definedName function="false" hidden="false" localSheetId="1" name="Normal_Sum" vbProcedure="false">IFERROR(SUM(Data!A$5:A$500),0)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<sst xmlns="http://schemas.openxmlformats.org/spreadsheetml/2006/main" count="520" uniqueCount="518">
  <si>
    <t xml:space="preserve">Excel Skills for Business: Advanced</t>
  </si>
  <si>
    <t xml:space="preserve">Week 3: Data Cleaning and Preparation</t>
  </si>
  <si>
    <t xml:space="preserve">Final Assessment</t>
  </si>
  <si>
    <t xml:space="preserve">Week 3: Learning Objectives</t>
  </si>
  <si>
    <t xml:space="preserve">Use the following functionalities in Excel for Data Cleaning and Preparation:
Fix dates with the help of functions
Replace blanks with repeating values
Remove unwanted spaces and characters from data</t>
  </si>
  <si>
    <t xml:space="preserve">Question</t>
  </si>
  <si>
    <t xml:space="preserve">Check Sum</t>
  </si>
  <si>
    <t xml:space="preserve">Workings</t>
  </si>
  <si>
    <t xml:space="preserve">Final clean record</t>
  </si>
  <si>
    <t xml:space="preserve">1st space</t>
  </si>
  <si>
    <t xml:space="preserve">2nd space</t>
  </si>
  <si>
    <t xml:space="preserve">3rd space</t>
  </si>
  <si>
    <t xml:space="preserve">Product</t>
  </si>
  <si>
    <t xml:space="preserve">Sales person</t>
  </si>
  <si>
    <t xml:space="preserve">Date (text)</t>
  </si>
  <si>
    <t xml:space="preserve">Amount</t>
  </si>
  <si>
    <t xml:space="preserve">Date (value)</t>
  </si>
  <si>
    <t xml:space="preserve">#</t>
  </si>
  <si>
    <t xml:space="preserve">Record</t>
  </si>
  <si>
    <t xml:space="preserve">/PR:Games____SP:Barney20171027   $1250   _x001f_</t>
  </si>
  <si>
    <t xml:space="preserve">////PR:Music_SP:David20171020     $1054  _x001e_</t>
  </si>
  <si>
    <t xml:space="preserve">//PR:Books__SP:Barney20171027     $699     _x001c_</t>
  </si>
  <si>
    <t xml:space="preserve">/PR:Music___SP:Carol20171031  $1305   _x001c_</t>
  </si>
  <si>
    <t xml:space="preserve">//PR:Games__SP:David20171027   $0 _x001d_</t>
  </si>
  <si>
    <t xml:space="preserve">//PR:Books___SP:Barney20171026     $740    _x001d_</t>
  </si>
  <si>
    <t xml:space="preserve">////PR:Clothing__SP:David20171011  $811    _x001f_</t>
  </si>
  <si>
    <t xml:space="preserve">/////PR:Clothing_____SP:David20171029   $1175 _x001d_</t>
  </si>
  <si>
    <t xml:space="preserve">////PR:Books____SP:Alice20171013   $586  _x001e_</t>
  </si>
  <si>
    <t xml:space="preserve">////PR:Music__SP:David20171015     $1202 _x001d_</t>
  </si>
  <si>
    <t xml:space="preserve">/////PR:Games___SP:David20171022 $0   _x001e_</t>
  </si>
  <si>
    <t xml:space="preserve">/////PR:Books_____SP:Alice2017101     $597   _x001e_</t>
  </si>
  <si>
    <t xml:space="preserve">/////PR:Music__SP:Alice20171031   $1142 _x001d_</t>
  </si>
  <si>
    <t xml:space="preserve">/PR:Clothing_SP:Carol20171025   $1213  _x001e_</t>
  </si>
  <si>
    <t xml:space="preserve">/////PR:Games_____SP:Alice20171021 $0     _x001c_</t>
  </si>
  <si>
    <t xml:space="preserve">///PR:Clothing_SP:David20171013   $0    _x001f_</t>
  </si>
  <si>
    <t xml:space="preserve">/////PR:Books_SP:Carol2017103  $721    _x001c_</t>
  </si>
  <si>
    <t xml:space="preserve">////PR:Clothing__SP:Carol20171026   $0 _x001e_</t>
  </si>
  <si>
    <t xml:space="preserve">////PR:Clothing___SP:Barney20171016    $945 _x001f_</t>
  </si>
  <si>
    <t xml:space="preserve">//PR:Clothing__SP:Barney20171025 $801  _x001c_</t>
  </si>
  <si>
    <t xml:space="preserve">/////PR:Books_SP:David2017109     $866    _x001d_</t>
  </si>
  <si>
    <t xml:space="preserve">/////PR:Books__SP:David20171017  $0  _x001d_</t>
  </si>
  <si>
    <t xml:space="preserve">/PR:Clothing___SP:David2017104  $1574    _x001f_</t>
  </si>
  <si>
    <t xml:space="preserve">////PR:Music__SP:Barney2017108 $0 _x001f_</t>
  </si>
  <si>
    <t xml:space="preserve">///PR:Books___SP:Carol20171023 $0   _x001e_</t>
  </si>
  <si>
    <t xml:space="preserve">//PR:Games__SP:Alice20171011 $1326  _x001c_</t>
  </si>
  <si>
    <t xml:space="preserve">/////PR:Clothing_SP:David20171026  $1044 _x001e_</t>
  </si>
  <si>
    <t xml:space="preserve">//PR:Books_SP:Carol2017102  $0  _x001d_</t>
  </si>
  <si>
    <t xml:space="preserve">/PR:Books_____SP:Carol2017104 $718    _x001d_</t>
  </si>
  <si>
    <t xml:space="preserve">//PR:Games__SP:Alice20171027     $1683     _x001e_</t>
  </si>
  <si>
    <t xml:space="preserve">////PR:Clothing__SP:Carol20171017     $794   _x001e_</t>
  </si>
  <si>
    <t xml:space="preserve">///PR:Games____SP:Alice20171023  $1747   _x001f_</t>
  </si>
  <si>
    <t xml:space="preserve">/////PR:Games____SP:David2017107    $1489    _x001e_</t>
  </si>
  <si>
    <t xml:space="preserve">//PR:Clothing_____SP:Carol20171024     $681     _x001d_</t>
  </si>
  <si>
    <t xml:space="preserve">/PR:Clothing_SP:Carol20171030   $0     _x001e_</t>
  </si>
  <si>
    <t xml:space="preserve">//PR:Music____SP:Alice20171020  $0    _x001d_</t>
  </si>
  <si>
    <t xml:space="preserve">//PR:Books__SP:David20171021    $960    _x001c_</t>
  </si>
  <si>
    <t xml:space="preserve">/PR:Books_____SP:Carol20171030   $731   _x001e_</t>
  </si>
  <si>
    <t xml:space="preserve">/////PR:Games_____SP:David2017102   $2153    _x001e_</t>
  </si>
  <si>
    <t xml:space="preserve">////PR:Music_SP:Alice20171011  $0    _x001f_</t>
  </si>
  <si>
    <t xml:space="preserve">////PR:Books_____SP:Carol20171015   $754   _x001f_</t>
  </si>
  <si>
    <t xml:space="preserve">/////PR:Music____SP:Carol20171012  $0  _x001d_</t>
  </si>
  <si>
    <t xml:space="preserve">///PR:Clothing_SP:Barney2017109  $1944    _x001f_</t>
  </si>
  <si>
    <t xml:space="preserve">/PR:Clothing__SP:Carol20171014     $808   _x001d_</t>
  </si>
  <si>
    <t xml:space="preserve">/////PR:Clothing___SP:Carol20171010    $1732   _x001e_</t>
  </si>
  <si>
    <t xml:space="preserve">//PR:Games____SP:Barney20171018 $2493  _x001c_</t>
  </si>
  <si>
    <t xml:space="preserve">/PR:Music_SP:Barney2017109    $0  _x001e_</t>
  </si>
  <si>
    <t xml:space="preserve">/////PR:Music___SP:Barney20171027    $0     _x001e_</t>
  </si>
  <si>
    <t xml:space="preserve">/////PR:Games___SP:Carol20171024     $1893  _x001c_</t>
  </si>
  <si>
    <t xml:space="preserve">////PR:Music_SP:David20171027    $1303    _x001c_</t>
  </si>
  <si>
    <t xml:space="preserve">//PR:Clothing___SP:Alice2017105 $1991     _x001c_</t>
  </si>
  <si>
    <t xml:space="preserve">/PR:Music__SP:David20171026 $1288  _x001f_</t>
  </si>
  <si>
    <t xml:space="preserve">//PR:Clothing____SP:Alice20171018 $1757 _x001d_</t>
  </si>
  <si>
    <t xml:space="preserve">///PR:Games____SP:Alice20171025    $2406   _x001d_</t>
  </si>
  <si>
    <t xml:space="preserve">////PR:Music___SP:Barney20171031    $1155 _x001c_</t>
  </si>
  <si>
    <t xml:space="preserve">/////PR:Games_SP:Carol20171020  $1107    _x001c_</t>
  </si>
  <si>
    <t xml:space="preserve">//PR:Clothing_SP:Alice20171015    $1986     _x001c_</t>
  </si>
  <si>
    <t xml:space="preserve">////PR:Books_____SP:David20171010     $987  _x001f_</t>
  </si>
  <si>
    <t xml:space="preserve">///PR:Games____SP:David20171015    $0 _x001f_</t>
  </si>
  <si>
    <t xml:space="preserve">/////PR:Music___SP:David2017108 $1355   _x001f_</t>
  </si>
  <si>
    <t xml:space="preserve">////PR:Games__SP:David20171026    $1466    _x001c_</t>
  </si>
  <si>
    <t xml:space="preserve">/PR:Books_____SP:Carol2017108     $591   _x001f_</t>
  </si>
  <si>
    <t xml:space="preserve">////PR:Books___SP:David20171019 $564   _x001f_</t>
  </si>
  <si>
    <t xml:space="preserve">////PR:Clothing_____SP:Barney20171020   $1875  _x001f_</t>
  </si>
  <si>
    <t xml:space="preserve">////PR:Games_____SP:Barney20171024  $0    _x001e_</t>
  </si>
  <si>
    <t xml:space="preserve">/PR:Clothing_____SP:David2017107  $1564   _x001e_</t>
  </si>
  <si>
    <t xml:space="preserve">///PR:Games___SP:Carol2017107   $0     _x001e_</t>
  </si>
  <si>
    <t xml:space="preserve">/////PR:Books_____SP:Carol20171019  $0     _x001f_</t>
  </si>
  <si>
    <t xml:space="preserve">////PR:Games____SP:Carol20171010 $0    _x001d_</t>
  </si>
  <si>
    <t xml:space="preserve">/////PR:Music___SP:Barney20171020   $0 _x001f_</t>
  </si>
  <si>
    <t xml:space="preserve">/PR:Books__SP:Carol20171021 $582  _x001e_</t>
  </si>
  <si>
    <t xml:space="preserve">/////PR:Clothing____SP:Carol20171013   $0   _x001e_</t>
  </si>
  <si>
    <t xml:space="preserve">///PR:Games___SP:Carol2017109  $893   _x001d_</t>
  </si>
  <si>
    <t xml:space="preserve">//PR:Music_____SP:Alice20171012  $1447     _x001d_</t>
  </si>
  <si>
    <t xml:space="preserve">/////PR:Clothing_____SP:Barney20171024    $1395     _x001d_</t>
  </si>
  <si>
    <t xml:space="preserve">//PR:Clothing_____SP:Alice20171025     $729  _x001c_</t>
  </si>
  <si>
    <t xml:space="preserve">////PR:Clothing___SP:Carol2017104     $819   _x001e_</t>
  </si>
  <si>
    <t xml:space="preserve">/PR:Clothing__SP:David20171024     $0   _x001c_</t>
  </si>
  <si>
    <t xml:space="preserve">///PR:Games__SP:David20171025     $1409     _x001c_</t>
  </si>
  <si>
    <t xml:space="preserve">/////PR:Games____SP:David20171028    $1628   _x001d_</t>
  </si>
  <si>
    <t xml:space="preserve">/PR:Music_SP:David20171030 $0  _x001f_</t>
  </si>
  <si>
    <t xml:space="preserve">//PR:Games___SP:Alice20171030 $1228 _x001c_</t>
  </si>
  <si>
    <t xml:space="preserve">////PR:Music_____SP:Carol20171018   $1232    _x001c_</t>
  </si>
  <si>
    <t xml:space="preserve">///PR:Clothing___SP:Barney20171029   $754 _x001c_</t>
  </si>
  <si>
    <t xml:space="preserve">//PR:Clothing_____SP:Carol20171023     $1234     _x001e_</t>
  </si>
  <si>
    <t xml:space="preserve">////PR:Music_____SP:Barney2017102    $927     _x001d_</t>
  </si>
  <si>
    <t xml:space="preserve">//PR:Clothing_SP:Barney2017107 $1419 _x001f_</t>
  </si>
  <si>
    <t xml:space="preserve">////PR:Games___SP:Barney20171022     $2167  _x001d_</t>
  </si>
  <si>
    <t xml:space="preserve">/////PR:Games____SP:Barney20171014   $1771  _x001d_</t>
  </si>
  <si>
    <t xml:space="preserve">/////PR:Games__SP:Barney2017109     $0 _x001f_</t>
  </si>
  <si>
    <t xml:space="preserve">/////PR:Clothing____SP:Alice2017101     $0    _x001d_</t>
  </si>
  <si>
    <t xml:space="preserve">/PR:Books__SP:Barney20171015  $0  _x001e_</t>
  </si>
  <si>
    <t xml:space="preserve">/////PR:Clothing___SP:Carol20171012  $1973  _x001f_</t>
  </si>
  <si>
    <t xml:space="preserve">///PR:Music__SP:David20171028     $941 _x001e_</t>
  </si>
  <si>
    <t xml:space="preserve">/////PR:Books_____SP:Carol20171028   $671   _x001f_</t>
  </si>
  <si>
    <t xml:space="preserve">///PR:Clothing____SP:Barney20171015    $1743 _x001d_</t>
  </si>
  <si>
    <t xml:space="preserve">/////PR:Games_SP:David20171017 $963    _x001e_</t>
  </si>
  <si>
    <t xml:space="preserve">//PR:Games__SP:Alice20171022     $0     _x001f_</t>
  </si>
  <si>
    <t xml:space="preserve">/PR:Books___SP:Barney20171023 $881    _x001c_</t>
  </si>
  <si>
    <t xml:space="preserve">/////PR:Games__SP:Carol20171025 $2083     _x001e_</t>
  </si>
  <si>
    <t xml:space="preserve">///PR:Clothing___SP:Carol2017108     $772   _x001e_</t>
  </si>
  <si>
    <t xml:space="preserve">/PR:Books___SP:Barney20171010   $725 _x001f_</t>
  </si>
  <si>
    <t xml:space="preserve">/PR:Music_SP:Barney20171029   $0 _x001e_</t>
  </si>
  <si>
    <t xml:space="preserve">////PR:Games__SP:Barney2017107 $1117    _x001e_</t>
  </si>
  <si>
    <t xml:space="preserve">////PR:Music___SP:Barney2017105   $1492  _x001f_</t>
  </si>
  <si>
    <t xml:space="preserve">/PR:Books_SP:Carol20171012    $500 _x001c_</t>
  </si>
  <si>
    <t xml:space="preserve">/////PR:Books_____SP:David20171024     $528  _x001e_</t>
  </si>
  <si>
    <t xml:space="preserve">//PR:Books_SP:David20171020    $825 _x001e_</t>
  </si>
  <si>
    <t xml:space="preserve">////PR:Games__SP:Barney20171026    $1752  _x001d_</t>
  </si>
  <si>
    <t xml:space="preserve">/////PR:Games__SP:Barney20171010     $1954     _x001e_</t>
  </si>
  <si>
    <t xml:space="preserve">/PR:Music_____SP:David20171025   $1179    _x001c_</t>
  </si>
  <si>
    <t xml:space="preserve">//PR:Clothing_SP:Barney2017106     $883  _x001c_</t>
  </si>
  <si>
    <t xml:space="preserve">/////PR:Games_____SP:Alice20171010     $2259    _x001d_</t>
  </si>
  <si>
    <t xml:space="preserve">///PR:Music_____SP:David20171024 $965  _x001f_</t>
  </si>
  <si>
    <t xml:space="preserve">//PR:Books__SP:Alice2017103     $0     _x001e_</t>
  </si>
  <si>
    <t xml:space="preserve">////PR:Books_____SP:Carol20171029   $697    _x001d_</t>
  </si>
  <si>
    <t xml:space="preserve">/////PR:Clothing_____SP:Carol20171029  $1227  _x001c_</t>
  </si>
  <si>
    <t xml:space="preserve">/PR:Music_____SP:Carol2017103  $1061    _x001d_</t>
  </si>
  <si>
    <t xml:space="preserve">//PR:Music_____SP:Barney20171028    $925 _x001e_</t>
  </si>
  <si>
    <t xml:space="preserve">/////PR:Games__SP:David2017108   $2271    _x001f_</t>
  </si>
  <si>
    <t xml:space="preserve">/PR:Music_____SP:Barney2017103    $1170   _x001d_</t>
  </si>
  <si>
    <t xml:space="preserve">/////PR:Clothing_SP:David20171027    $1154   _x001e_</t>
  </si>
  <si>
    <t xml:space="preserve">/////PR:Books___SP:David20171016  $598   _x001c_</t>
  </si>
  <si>
    <t xml:space="preserve">///PR:Games___SP:Alice20171016  $1101     _x001c_</t>
  </si>
  <si>
    <t xml:space="preserve">///PR:Books____SP:Barney20171028    $905 _x001c_</t>
  </si>
  <si>
    <t xml:space="preserve">////PR:Books____SP:Barney2017104    $818  _x001d_</t>
  </si>
  <si>
    <t xml:space="preserve">/PR:Games____SP:David2017104     $0   _x001c_</t>
  </si>
  <si>
    <t xml:space="preserve">//PR:Books___SP:Alice20171017  $820     _x001e_</t>
  </si>
  <si>
    <t xml:space="preserve">/PR:Games__SP:Carol2017103 $2228   _x001c_</t>
  </si>
  <si>
    <t xml:space="preserve">///PR:Games____SP:David20171012    $0  _x001f_</t>
  </si>
  <si>
    <t xml:space="preserve">///PR:Books____SP:Carol2017109  $970     _x001d_</t>
  </si>
  <si>
    <t xml:space="preserve">//PR:Games_____SP:David2017103    $944  _x001f_</t>
  </si>
  <si>
    <t xml:space="preserve">/PR:Music___SP:Barney20171026   $1404    _x001d_</t>
  </si>
  <si>
    <t xml:space="preserve">/////PR:Clothing_____SP:Alice20171030    $1305     _x001c_</t>
  </si>
  <si>
    <t xml:space="preserve">///PR:Games_____SP:David20171020  $869   _x001d_</t>
  </si>
  <si>
    <t xml:space="preserve">/////PR:Clothing__SP:Carol2017102     $0   _x001d_</t>
  </si>
  <si>
    <t xml:space="preserve">///PR:Games_SP:Barney20171025 $0   _x001e_</t>
  </si>
  <si>
    <t xml:space="preserve">////PR:Books___SP:Carol20171014   $0  _x001c_</t>
  </si>
  <si>
    <t xml:space="preserve">////PR:Music___SP:Alice2017104    $1461     _x001d_</t>
  </si>
  <si>
    <t xml:space="preserve">//PR:Books____SP:Barney20171011    $999     _x001e_</t>
  </si>
  <si>
    <t xml:space="preserve">/////PR:Books__SP:Barney20171022     $510    _x001e_</t>
  </si>
  <si>
    <t xml:space="preserve">////PR:Music____SP:Alice20171013 $1103    _x001e_</t>
  </si>
  <si>
    <t xml:space="preserve">////PR:Music____SP:Carol20171016     $1412   _x001d_</t>
  </si>
  <si>
    <t xml:space="preserve">////PR:Books_SP:Barney20171016     $0 _x001f_</t>
  </si>
  <si>
    <t xml:space="preserve">//PR:Books__SP:Alice2017108   $763 _x001d_</t>
  </si>
  <si>
    <t xml:space="preserve">///PR:Clothing___SP:Barney20171011     $1419  _x001f_</t>
  </si>
  <si>
    <t xml:space="preserve">/PR:Books_SP:Alice20171031 $906     _x001e_</t>
  </si>
  <si>
    <t xml:space="preserve">///PR:Books___SP:Carol20171010  $725 _x001f_</t>
  </si>
  <si>
    <t xml:space="preserve">////PR:Clothing__SP:Carol20171015  $1304    _x001f_</t>
  </si>
  <si>
    <t xml:space="preserve">//PR:Games_____SP:Carol20171026   $1050    _x001c_</t>
  </si>
  <si>
    <t xml:space="preserve">/////PR:Books_SP:David2017103   $765 _x001f_</t>
  </si>
  <si>
    <t xml:space="preserve">//PR:Music__SP:Barney2017101  $1272   _x001d_</t>
  </si>
  <si>
    <t xml:space="preserve">//PR:Music_SP:David2017107  $1424    _x001e_</t>
  </si>
  <si>
    <t xml:space="preserve">/////PR:Music____SP:Alice2017105 $1047     _x001d_</t>
  </si>
  <si>
    <t xml:space="preserve">////PR:Games_SP:Carol2017101    $1451   _x001d_</t>
  </si>
  <si>
    <t xml:space="preserve">/////PR:Clothing___SP:Barney20171010    $667   _x001c_</t>
  </si>
  <si>
    <t xml:space="preserve">///PR:Books_____SP:Carol2017101     $670    _x001d_</t>
  </si>
  <si>
    <t xml:space="preserve">//PR:Books____SP:David2017104  $729   _x001f_</t>
  </si>
  <si>
    <t xml:space="preserve">/////PR:Clothing_____SP:Carol20171021  $1864     _x001f_</t>
  </si>
  <si>
    <t xml:space="preserve">////PR:Books__SP:Carol20171013    $0   _x001e_</t>
  </si>
  <si>
    <t xml:space="preserve">//PR:Clothing_____SP:Carol20171019  $0  _x001f_</t>
  </si>
  <si>
    <t xml:space="preserve">/PR:Clothing____SP:David20171028   $850     _x001f_</t>
  </si>
  <si>
    <t xml:space="preserve">/PR:Games__SP:Carol20171015     $1500    _x001f_</t>
  </si>
  <si>
    <t xml:space="preserve">//PR:Music_SP:Carol20171011    $0 _x001c_</t>
  </si>
  <si>
    <t xml:space="preserve">/PR:Music___SP:Barney2017104   $1242    _x001e_</t>
  </si>
  <si>
    <t xml:space="preserve">////PR:Music___SP:Carol20171024 $0   _x001e_</t>
  </si>
  <si>
    <t xml:space="preserve">/////PR:Books___SP:David20171023  $804     _x001f_</t>
  </si>
  <si>
    <t xml:space="preserve">/PR:Clothing_____SP:Barney20171018     $615    _x001c_</t>
  </si>
  <si>
    <t xml:space="preserve">//PR:Books___SP:Barney2017106 $0   _x001f_</t>
  </si>
  <si>
    <t xml:space="preserve">///PR:Games___SP:Carol20171016  $1900  _x001f_</t>
  </si>
  <si>
    <t xml:space="preserve">///PR:Clothing_____SP:Alice2017102  $1657 _x001d_</t>
  </si>
  <si>
    <t xml:space="preserve">/PR:Clothing___SP:Alice20171026    $1243    _x001e_</t>
  </si>
  <si>
    <t xml:space="preserve">/PR:Clothing____SP:Barney2017103 $0  _x001c_</t>
  </si>
  <si>
    <t xml:space="preserve">////PR:Games____SP:Carol20171022     $1616   _x001d_</t>
  </si>
  <si>
    <t xml:space="preserve">/PR:Music_____SP:David2017105 $1136   _x001c_</t>
  </si>
  <si>
    <t xml:space="preserve">///PR:Clothing__SP:Alice20171014  $1671  _x001f_</t>
  </si>
  <si>
    <t xml:space="preserve">/////PR:Books___SP:Alice2017109    $640   _x001d_</t>
  </si>
  <si>
    <t xml:space="preserve">//PR:Music___SP:Carol20171022 $952    _x001f_</t>
  </si>
  <si>
    <t xml:space="preserve">/////PR:Games____SP:Barney20171011   $1198    _x001c_</t>
  </si>
  <si>
    <t xml:space="preserve">////PR:Music__SP:Barney20171015   $1291  _x001c_</t>
  </si>
  <si>
    <t xml:space="preserve">///PR:Games___SP:Carol20171021     $1037 _x001f_</t>
  </si>
  <si>
    <t xml:space="preserve">///PR:Clothing_____SP:Barney20171027  $1105    _x001c_</t>
  </si>
  <si>
    <t xml:space="preserve">///PR:Books_SP:Carol20171024     $767     _x001c_</t>
  </si>
  <si>
    <t xml:space="preserve">////PR:Clothing____SP:Alice2017103    $1121     _x001d_</t>
  </si>
  <si>
    <t xml:space="preserve">//PR:Music_SP:Barney20171012  $914  _x001c_</t>
  </si>
  <si>
    <t xml:space="preserve">///PR:Clothing_____SP:David2017108   $1631  _x001d_</t>
  </si>
  <si>
    <t xml:space="preserve">////PR:Games_SP:Barney2017104 $0  _x001f_</t>
  </si>
  <si>
    <t xml:space="preserve">////PR:Games__SP:David20171021     $1916   _x001d_</t>
  </si>
  <si>
    <t xml:space="preserve">/PR:Games_SP:Alice2017106   $2406 _x001f_</t>
  </si>
  <si>
    <t xml:space="preserve">/////PR:Games____SP:Carol20171012    $1878   _x001d_</t>
  </si>
  <si>
    <t xml:space="preserve">////PR:Games____SP:David20171019 $0     _x001d_</t>
  </si>
  <si>
    <t xml:space="preserve">/////PR:Music__SP:Carol20171015    $1360   _x001d_</t>
  </si>
  <si>
    <t xml:space="preserve">/PR:Music____SP:Carol20171014     $0  _x001c_</t>
  </si>
  <si>
    <t xml:space="preserve">//PR:Books_____SP:Barney2017105   $844   _x001e_</t>
  </si>
  <si>
    <t xml:space="preserve">/////PR:Clothing__SP:David20171020  $1172     _x001c_</t>
  </si>
  <si>
    <t xml:space="preserve">///PR:Books____SP:Alice20171030 $0    _x001d_</t>
  </si>
  <si>
    <t xml:space="preserve">/PR:Music___SP:Alice2017107    $924 _x001e_</t>
  </si>
  <si>
    <t xml:space="preserve">/////PR:Games__SP:Barney2017102     $2368 _x001e_</t>
  </si>
  <si>
    <t xml:space="preserve">////PR:Games____SP:Carol20171018 $1616    _x001e_</t>
  </si>
  <si>
    <t xml:space="preserve">//PR:Music_____SP:David20171012     $1445  _x001d_</t>
  </si>
  <si>
    <t xml:space="preserve">/PR:Music___SP:Carol20171030  $1133   _x001e_</t>
  </si>
  <si>
    <t xml:space="preserve">/////PR:Clothing___SP:Carol2017105     $0     _x001c_</t>
  </si>
  <si>
    <t xml:space="preserve">///PR:Clothing__SP:Alice20171031     $874 _x001f_</t>
  </si>
  <si>
    <t xml:space="preserve">//PR:Music___SP:Carol2017108     $1003   _x001f_</t>
  </si>
  <si>
    <t xml:space="preserve">///PR:Books__SP:David20171012     $688  _x001e_</t>
  </si>
  <si>
    <t xml:space="preserve">//PR:Clothing_____SP:Carol20171022  $1334     _x001e_</t>
  </si>
  <si>
    <t xml:space="preserve">/PR:Books_SP:Alice20171014     $552  _x001e_</t>
  </si>
  <si>
    <t xml:space="preserve">////PR:Books_____SP:Carol20171011     $776   _x001f_</t>
  </si>
  <si>
    <t xml:space="preserve">/PR:Games__SP:Barney20171028    $1261    _x001e_</t>
  </si>
  <si>
    <t xml:space="preserve">////PR:Music____SP:David20171022   $1437 _x001e_</t>
  </si>
  <si>
    <t xml:space="preserve">/PR:Clothing__SP:David20171025 $0     _x001c_</t>
  </si>
  <si>
    <t xml:space="preserve">///PR:Games_SP:David20171031    $1562  _x001e_</t>
  </si>
  <si>
    <t xml:space="preserve">/PR:Music___SP:Alice20171021 $1342    _x001d_</t>
  </si>
  <si>
    <t xml:space="preserve">////PR:Music__SP:David2017103     $0 _x001f_</t>
  </si>
  <si>
    <t xml:space="preserve">/PR:Games____SP:Alice20171017     $892 _x001f_</t>
  </si>
  <si>
    <t xml:space="preserve">//PR:Music_SP:Alice20171014    $1236    _x001e_</t>
  </si>
  <si>
    <t xml:space="preserve">/PR:Games____SP:Carol20171019    $1289  _x001d_</t>
  </si>
  <si>
    <t xml:space="preserve">/////PR:Clothing___SP:David20171016   $1414    _x001d_</t>
  </si>
  <si>
    <t xml:space="preserve">/PR:Music__SP:Barney2017107     $984   _x001d_</t>
  </si>
  <si>
    <t xml:space="preserve">//PR:Music__SP:Alice20171030     $0   _x001e_</t>
  </si>
  <si>
    <t xml:space="preserve">////PR:Books_SP:David20171013   $0   _x001c_</t>
  </si>
  <si>
    <t xml:space="preserve">///PR:Clothing_SP:Barney2017108    $718  _x001f_</t>
  </si>
  <si>
    <t xml:space="preserve">/////PR:Music_SP:Alice2017103   $0 _x001d_</t>
  </si>
  <si>
    <t xml:space="preserve">//PR:Music___SP:Alice2017102  $975 _x001c_</t>
  </si>
  <si>
    <t xml:space="preserve">///PR:Clothing_SP:David20171010     $1545   _x001d_</t>
  </si>
  <si>
    <t xml:space="preserve">///PR:Music___SP:David2017106     $0 _x001f_</t>
  </si>
  <si>
    <t xml:space="preserve">/////PR:Music__SP:Alice2017101  $0  _x001c_</t>
  </si>
  <si>
    <t xml:space="preserve">///PR:Games____SP:David20171029  $0  _x001c_</t>
  </si>
  <si>
    <t xml:space="preserve">/////PR:Books___SP:Alice20171012    $743  _x001c_</t>
  </si>
  <si>
    <t xml:space="preserve">////PR:Music_SP:Alice2017109    $1347 _x001f_</t>
  </si>
  <si>
    <t xml:space="preserve">/////PR:Books___SP:Alice20171021     $875    _x001e_</t>
  </si>
  <si>
    <t xml:space="preserve">////PR:Games____SP:Carol20171014    $2331   _x001f_</t>
  </si>
  <si>
    <t xml:space="preserve">///PR:Books_SP:Barney20171031  $0     _x001f_</t>
  </si>
  <si>
    <t xml:space="preserve">//PR:Clothing_SP:Alice2017107    $1182  _x001c_</t>
  </si>
  <si>
    <t xml:space="preserve">////PR:Books__SP:Alice20171011 $675    _x001e_</t>
  </si>
  <si>
    <t xml:space="preserve">//PR:Music_____SP:Barney20171025 $981  _x001f_</t>
  </si>
  <si>
    <t xml:space="preserve">//PR:Clothing_____SP:Alice20171013     $1693  _x001f_</t>
  </si>
  <si>
    <t xml:space="preserve">////PR:Music___SP:Alice20171015  $1499  _x001f_</t>
  </si>
  <si>
    <t xml:space="preserve">////PR:Clothing____SP:Carol20171028  $1774    _x001e_</t>
  </si>
  <si>
    <t xml:space="preserve">/////PR:Music_____SP:Carol2017106    $1256     _x001f_</t>
  </si>
  <si>
    <t xml:space="preserve">////PR:Games_____SP:Carol20171028   $1298     _x001c_</t>
  </si>
  <si>
    <t xml:space="preserve">/////PR:Games__SP:Barney20171021  $0 _x001c_</t>
  </si>
  <si>
    <t xml:space="preserve">/PR:Books__SP:Carol2017106  $0    _x001e_</t>
  </si>
  <si>
    <t xml:space="preserve">////PR:Clothing_____SP:Carol2017109 $987  _x001f_</t>
  </si>
  <si>
    <t xml:space="preserve">///PR:Music____SP:David20171013  $1454    _x001c_</t>
  </si>
  <si>
    <t xml:space="preserve">/////PR:Games___SP:Carol20171029 $0 _x001f_</t>
  </si>
  <si>
    <t xml:space="preserve">/////PR:Games_SP:Carol20171030   $803  _x001d_</t>
  </si>
  <si>
    <t xml:space="preserve">///PR:Games_SP:Barney2017105 $0    _x001f_</t>
  </si>
  <si>
    <t xml:space="preserve">////PR:Clothing_____SP:Barney20171030  $0 _x001c_</t>
  </si>
  <si>
    <t xml:space="preserve">///PR:Music___SP:Barney20171030 $1227  _x001e_</t>
  </si>
  <si>
    <t xml:space="preserve">/////PR:Music____SP:Alice20171027   $1325   _x001c_</t>
  </si>
  <si>
    <t xml:space="preserve">////PR:Clothing_____SP:David20171018   $0     _x001f_</t>
  </si>
  <si>
    <t xml:space="preserve">////PR:Games_____SP:Alice20171024   $1035  _x001f_</t>
  </si>
  <si>
    <t xml:space="preserve">///PR:Books___SP:David20171030 $553 _x001c_</t>
  </si>
  <si>
    <t xml:space="preserve">//PR:Music___SP:Barney20171021 $1139 _x001c_</t>
  </si>
  <si>
    <t xml:space="preserve">/////PR:Games__SP:Barney20171029   $0     _x001c_</t>
  </si>
  <si>
    <t xml:space="preserve">//PR:Music_SP:Carol20171026     $0    _x001d_</t>
  </si>
  <si>
    <t xml:space="preserve">////PR:Books____SP:Barney20171013 $922    _x001f_</t>
  </si>
  <si>
    <t xml:space="preserve">/////PR:Books____SP:Alice20171029  $933   _x001f_</t>
  </si>
  <si>
    <t xml:space="preserve">///PR:Music____SP:Carol2017101   $902 _x001d_</t>
  </si>
  <si>
    <t xml:space="preserve">//PR:Books___SP:Barney2017102  $885 _x001c_</t>
  </si>
  <si>
    <t xml:space="preserve">/////PR:Clothing___SP:Barney20171031     $0  _x001d_</t>
  </si>
  <si>
    <t xml:space="preserve">/PR:Clothing___SP:Alice20171016  $0    _x001f_</t>
  </si>
  <si>
    <t xml:space="preserve">/////PR:Music___SP:David20171010 $1040 _x001e_</t>
  </si>
  <si>
    <t xml:space="preserve">////PR:Clothing_____SP:Carol20171031  $0    _x001d_</t>
  </si>
  <si>
    <t xml:space="preserve">////PR:Games_____SP:Carol2017105 $2347     _x001d_</t>
  </si>
  <si>
    <t xml:space="preserve">/////PR:Games_____SP:Alice20171019  $1388   _x001d_</t>
  </si>
  <si>
    <t xml:space="preserve">/PR:Clothing____SP:David2017102 $0   _x001f_</t>
  </si>
  <si>
    <t xml:space="preserve">//PR:Clothing_____SP:Barney2017104    $1992  _x001e_</t>
  </si>
  <si>
    <t xml:space="preserve">/PR:Games__SP:David20171014    $1110   _x001f_</t>
  </si>
  <si>
    <t xml:space="preserve">//PR:Music_____SP:David2017102    $1315 _x001f_</t>
  </si>
  <si>
    <t xml:space="preserve">/////PR:Clothing_____SP:David20171014     $962     _x001d_</t>
  </si>
  <si>
    <t xml:space="preserve">/PR:Clothing____SP:David20171012  $1066     _x001e_</t>
  </si>
  <si>
    <t xml:space="preserve">///PR:Books_SP:David20171025    $749 _x001d_</t>
  </si>
  <si>
    <t xml:space="preserve">/////PR:Clothing__SP:Carol2017107 $1535     _x001f_</t>
  </si>
  <si>
    <t xml:space="preserve">/PR:Music___SP:Alice20171026   $1330   _x001e_</t>
  </si>
  <si>
    <t xml:space="preserve">/PR:Games__SP:Carol20171011 $0    _x001e_</t>
  </si>
  <si>
    <t xml:space="preserve">/////PR:Games___SP:David2017106  $1248   _x001d_</t>
  </si>
  <si>
    <t xml:space="preserve">//PR:Clothing__SP:David2017106     $1106 _x001f_</t>
  </si>
  <si>
    <t xml:space="preserve">//PR:Games____SP:Alice20171029     $1164    _x001d_</t>
  </si>
  <si>
    <t xml:space="preserve">//PR:Games____SP:Barney2017106  $0 _x001f_</t>
  </si>
  <si>
    <t xml:space="preserve">////PR:Games___SP:David20171030   $1281  _x001d_</t>
  </si>
  <si>
    <t xml:space="preserve">///PR:Music_SP:Alice20171019    $0     _x001e_</t>
  </si>
  <si>
    <t xml:space="preserve">//PR:Clothing_SP:Alice20171027   $0    _x001f_</t>
  </si>
  <si>
    <t xml:space="preserve">//PR:Books_____SP:David20171027     $0    _x001f_</t>
  </si>
  <si>
    <t xml:space="preserve">//PR:Clothing____SP:Alice2017104     $1616 _x001e_</t>
  </si>
  <si>
    <t xml:space="preserve">////PR:Games_SP:Alice20171020    $2087 _x001e_</t>
  </si>
  <si>
    <t xml:space="preserve">///PR:Books____SP:Alice20171024  $762   _x001e_</t>
  </si>
  <si>
    <t xml:space="preserve">/////PR:Clothing____SP:Barney20171023     $0 _x001c_</t>
  </si>
  <si>
    <t xml:space="preserve">////PR:Books_SP:Barney2017103    $0  _x001c_</t>
  </si>
  <si>
    <t xml:space="preserve">//PR:Books__SP:David20171028    $904   _x001c_</t>
  </si>
  <si>
    <t xml:space="preserve">//PR:Books__SP:Alice20171010     $0 _x001f_</t>
  </si>
  <si>
    <t xml:space="preserve">///PR:Games___SP:Barney20171015 $0    _x001d_</t>
  </si>
  <si>
    <t xml:space="preserve">////PR:Books__SP:David2017106 $523  _x001d_</t>
  </si>
  <si>
    <t xml:space="preserve">////PR:Clothing_SP:Carol20171018  $905     _x001c_</t>
  </si>
  <si>
    <t xml:space="preserve">/PR:Clothing____SP:Alice20171021  $834   _x001c_</t>
  </si>
  <si>
    <t xml:space="preserve">////PR:Clothing__SP:Barney20171017   $1740   _x001f_</t>
  </si>
  <si>
    <t xml:space="preserve">//PR:Music_SP:Carol20171013 $1143   _x001d_</t>
  </si>
  <si>
    <t xml:space="preserve">/////PR:Clothing__SP:Barney20171019    $0 _x001f_</t>
  </si>
  <si>
    <t xml:space="preserve">//PR:Music__SP:Barney20171023  $984     _x001d_</t>
  </si>
  <si>
    <t xml:space="preserve">//PR:Books__SP:Barney20171019 $604    _x001f_</t>
  </si>
  <si>
    <t xml:space="preserve">//PR:Games_____SP:Barney20171013   $1349    _x001d_</t>
  </si>
  <si>
    <t xml:space="preserve">//PR:Books_SP:David20171015  $852  _x001e_</t>
  </si>
  <si>
    <t xml:space="preserve">/PR:Books__SP:Barney20171014 $621     _x001d_</t>
  </si>
  <si>
    <t xml:space="preserve">//PR:Books____SP:Alice20171026   $950  _x001c_</t>
  </si>
  <si>
    <t xml:space="preserve">////PR:Books_SP:Carol20171020 $713  _x001c_</t>
  </si>
  <si>
    <t xml:space="preserve">///PR:Clothing___SP:Barney2017105    $999 _x001d_</t>
  </si>
  <si>
    <t xml:space="preserve">//PR:Clothing____SP:Carol20171011     $1635     _x001f_</t>
  </si>
  <si>
    <t xml:space="preserve">////PR:Books_SP:Alice20171020 $940   _x001f_</t>
  </si>
  <si>
    <t xml:space="preserve">////PR:Music__SP:Alice20171018   $1071     _x001f_</t>
  </si>
  <si>
    <t xml:space="preserve">//PR:Music__SP:David2017104  $0   _x001f_</t>
  </si>
  <si>
    <t xml:space="preserve">////PR:Games____SP:David20171010  $1870  _x001e_</t>
  </si>
  <si>
    <t xml:space="preserve">///PR:Books__SP:Barney20171029 $764 _x001d_</t>
  </si>
  <si>
    <t xml:space="preserve">//PR:Clothing_____SP:David20171023   $1176 _x001d_</t>
  </si>
  <si>
    <t xml:space="preserve">/PR:Clothing___SP:Alice20171024    $681 _x001e_</t>
  </si>
  <si>
    <t xml:space="preserve">///PR:Music_____SP:Barney20171019    $1500  _x001c_</t>
  </si>
  <si>
    <t xml:space="preserve">/////PR:Music__SP:David20171029 $0     _x001e_</t>
  </si>
  <si>
    <t xml:space="preserve">//PR:Music__SP:Alice20171017     $0 _x001c_</t>
  </si>
  <si>
    <t xml:space="preserve">/////PR:Music_SP:Carol2017105     $1428  _x001d_</t>
  </si>
  <si>
    <t xml:space="preserve">///PR:Music____SP:Carol20171023     $968     _x001d_</t>
  </si>
  <si>
    <t xml:space="preserve">///PR:Games__SP:Alice20171026     $0    _x001f_</t>
  </si>
  <si>
    <t xml:space="preserve">////PR:Games_____SP:Barney20171016   $1522  _x001c_</t>
  </si>
  <si>
    <t xml:space="preserve">//PR:Music__SP:Carol20171019  $0 _x001f_</t>
  </si>
  <si>
    <t xml:space="preserve">//PR:Books____SP:Carol20171031  $900    _x001e_</t>
  </si>
  <si>
    <t xml:space="preserve">//PR:Music_____SP:Alice20171028     $0  _x001e_</t>
  </si>
  <si>
    <t xml:space="preserve">/PR:Books___SP:David2017107   $978    _x001e_</t>
  </si>
  <si>
    <t xml:space="preserve">/PR:Clothing__SP:Alice2017106    $680 _x001e_</t>
  </si>
  <si>
    <t xml:space="preserve">///PR:Games___SP:Barney20171017     $1489    _x001f_</t>
  </si>
  <si>
    <t xml:space="preserve">/////PR:Games____SP:Barney20171030     $0  _x001d_</t>
  </si>
  <si>
    <t xml:space="preserve">/PR:Books_SP:Alice20171023 $0    _x001e_</t>
  </si>
  <si>
    <t xml:space="preserve">////PR:Clothing__SP:David2017105 $0   _x001e_</t>
  </si>
  <si>
    <t xml:space="preserve">///PR:Books_SP:Alice2017105   $508 _x001f_</t>
  </si>
  <si>
    <t xml:space="preserve">/////PR:Clothing_____SP:Barney20171026  $1793   _x001f_</t>
  </si>
  <si>
    <t xml:space="preserve">/PR:Books_____SP:Barney2017107  $765    _x001d_</t>
  </si>
  <si>
    <t xml:space="preserve">//PR:Clothing_SP:Alice20171023  $1099    _x001f_</t>
  </si>
  <si>
    <t xml:space="preserve">////PR:Clothing_____SP:David2017101  $610     _x001e_</t>
  </si>
  <si>
    <t xml:space="preserve">//PR:Music__SP:Barney20171024  $1157     _x001e_</t>
  </si>
  <si>
    <t xml:space="preserve">///PR:Clothing_____SP:Barney20171022 $845  _x001c_</t>
  </si>
  <si>
    <t xml:space="preserve">/////PR:Games_SP:Barney20171031     $1381   _x001e_</t>
  </si>
  <si>
    <t xml:space="preserve">////PR:Games_SP:David2017109 $1960   _x001e_</t>
  </si>
  <si>
    <t xml:space="preserve">/////PR:Games_____SP:Barney2017103  $1957   _x001f_</t>
  </si>
  <si>
    <t xml:space="preserve">///PR:Music_SP:David20171031     $1247    _x001d_</t>
  </si>
  <si>
    <t xml:space="preserve">//PR:Games__SP:Barney2017108  $1478  _x001f_</t>
  </si>
  <si>
    <t xml:space="preserve">///PR:Games_____SP:Alice2017109  $0  _x001c_</t>
  </si>
  <si>
    <t xml:space="preserve">/////PR:Music_____SP:Carol20171028   $1137 _x001f_</t>
  </si>
  <si>
    <t xml:space="preserve">///PR:Clothing____SP:Carol2017106    $0   _x001f_</t>
  </si>
  <si>
    <t xml:space="preserve">////PR:Music_SP:Carol20171017    $1223     _x001d_</t>
  </si>
  <si>
    <t xml:space="preserve">/PR:Clothing___SP:Barney2017101   $732    _x001f_</t>
  </si>
  <si>
    <t xml:space="preserve">////PR:Clothing___SP:Carol20171020    $0     _x001f_</t>
  </si>
  <si>
    <t xml:space="preserve">//PR:Books___SP:Carol2017105    $619    _x001d_</t>
  </si>
  <si>
    <t xml:space="preserve">/PR:Clothing_SP:Alice20171019     $877  _x001f_</t>
  </si>
  <si>
    <t xml:space="preserve">///PR:Books_____SP:David20171031    $629   _x001d_</t>
  </si>
  <si>
    <t xml:space="preserve">///PR:Clothing____SP:Carol2017103     $1069 _x001d_</t>
  </si>
  <si>
    <t xml:space="preserve">////PR:Music__SP:Alice20171022    $1348  _x001f_</t>
  </si>
  <si>
    <t xml:space="preserve">//PR:Clothing_____SP:David20171017  $1475 _x001d_</t>
  </si>
  <si>
    <t xml:space="preserve">///PR:Music__SP:Carol20171021    $0 _x001e_</t>
  </si>
  <si>
    <t xml:space="preserve">///PR:Games___SP:Alice20171014   $2209     _x001d_</t>
  </si>
  <si>
    <t xml:space="preserve">/////PR:Games___SP:David20171024     $0    _x001e_</t>
  </si>
  <si>
    <t xml:space="preserve">////PR:Games____SP:Barney20171019 $0 _x001f_</t>
  </si>
  <si>
    <t xml:space="preserve">///PR:Games___SP:Carol2017106  $1733 _x001e_</t>
  </si>
  <si>
    <t xml:space="preserve">/////PR:Games__SP:David2017105    $1878     _x001e_</t>
  </si>
  <si>
    <t xml:space="preserve">//PR:Clothing___SP:Barney20171012    $925     _x001c_</t>
  </si>
  <si>
    <t xml:space="preserve">/PR:Books___SP:Barney2017101    $686    _x001f_</t>
  </si>
  <si>
    <t xml:space="preserve">/////PR:Clothing_____SP:David2017109     $1703   _x001d_</t>
  </si>
  <si>
    <t xml:space="preserve">///PR:Music_SP:David20171021   $1038 _x001c_</t>
  </si>
  <si>
    <t xml:space="preserve">////PR:Games__SP:David20171013 $1573    _x001f_</t>
  </si>
  <si>
    <t xml:space="preserve">//PR:Games____SP:Alice20171031     $1364 _x001f_</t>
  </si>
  <si>
    <t xml:space="preserve">/////PR:Clothing__SP:David20171015    $1281  _x001e_</t>
  </si>
  <si>
    <t xml:space="preserve">//PR:Books_____SP:David20171022     $996 _x001d_</t>
  </si>
  <si>
    <t xml:space="preserve">////PR:Music____SP:Alice2017108   $0    _x001d_</t>
  </si>
  <si>
    <t xml:space="preserve">/PR:Books_____SP:Carol20171027   $528  _x001c_</t>
  </si>
  <si>
    <t xml:space="preserve">///PR:Books_SP:Barney20171012    $789     _x001e_</t>
  </si>
  <si>
    <t xml:space="preserve">////PR:Games_SP:Alice2017103     $0 _x001c_</t>
  </si>
  <si>
    <t xml:space="preserve">//PR:Music_____SP:David20171011     $1306  _x001f_</t>
  </si>
  <si>
    <t xml:space="preserve">//PR:Clothing__SP:David20171031     $1389  _x001d_</t>
  </si>
  <si>
    <t xml:space="preserve">/////PR:Clothing_SP:Alice20171029    $1950  _x001d_</t>
  </si>
  <si>
    <t xml:space="preserve">///PR:Books_____SP:Alice20171016   $735 _x001e_</t>
  </si>
  <si>
    <t xml:space="preserve">///PR:Music____SP:Carol2017109  $1368  _x001e_</t>
  </si>
  <si>
    <t xml:space="preserve">//PR:Clothing_____SP:Alice20171010  $1069 _x001f_</t>
  </si>
  <si>
    <t xml:space="preserve">/////PR:Games_____SP:Barney2017101    $1477  _x001d_</t>
  </si>
  <si>
    <t xml:space="preserve">////PR:Books___SP:Barney20171018 $669  _x001e_</t>
  </si>
  <si>
    <t xml:space="preserve">///PR:Games_SP:Carol20171023  $2447    _x001d_</t>
  </si>
  <si>
    <t xml:space="preserve">/PR:Books___SP:David20171014  $0     _x001f_</t>
  </si>
  <si>
    <t xml:space="preserve">///PR:Games_SP:Barney20171023    $2144     _x001e_</t>
  </si>
  <si>
    <t xml:space="preserve">///PR:Books____SP:Alice20171022     $699  _x001d_</t>
  </si>
  <si>
    <t xml:space="preserve">///PR:Music_SP:David20171017     $0 _x001d_</t>
  </si>
  <si>
    <t xml:space="preserve">///PR:Music____SP:Barney20171013   $0   _x001d_</t>
  </si>
  <si>
    <t xml:space="preserve">/PR:Books_____SP:Carol20171017     $825     _x001c_</t>
  </si>
  <si>
    <t xml:space="preserve">////PR:Games__SP:Alice2017107     $0   _x001c_</t>
  </si>
  <si>
    <t xml:space="preserve">//PR:Games_____SP:David2017101    $1810     _x001e_</t>
  </si>
  <si>
    <t xml:space="preserve">/////PR:Books__SP:Carol20171026  $686   _x001e_</t>
  </si>
  <si>
    <t xml:space="preserve">////PR:Music_____SP:Carol2017104  $1025  _x001c_</t>
  </si>
  <si>
    <t xml:space="preserve">///PR:Games_SP:Carol2017102    $827     _x001d_</t>
  </si>
  <si>
    <t xml:space="preserve">/////PR:Books____SP:David20171018  $0  _x001c_</t>
  </si>
  <si>
    <t xml:space="preserve">///PR:Music_____SP:Barney20171022 $1291   _x001c_</t>
  </si>
  <si>
    <t xml:space="preserve">/////PR:Music___SP:Barney20171017   $1294   _x001d_</t>
  </si>
  <si>
    <t xml:space="preserve">/////PR:Music__SP:Alice20171010   $1098    _x001d_</t>
  </si>
  <si>
    <t xml:space="preserve">////PR:Books___SP:Alice2017104  $716  _x001d_</t>
  </si>
  <si>
    <t xml:space="preserve">///PR:Clothing____SP:Alice20171012 $0     _x001c_</t>
  </si>
  <si>
    <t xml:space="preserve">///PR:Clothing_SP:David20171019   $0  _x001f_</t>
  </si>
  <si>
    <t xml:space="preserve">//PR:Clothing_SP:Carol2017101 $988 _x001c_</t>
  </si>
  <si>
    <t xml:space="preserve">//PR:Music_SP:Barney20171010 $1140   _x001c_</t>
  </si>
  <si>
    <t xml:space="preserve">////PR:Books__SP:Alice20171019   $0  _x001c_</t>
  </si>
  <si>
    <t xml:space="preserve">/////PR:Music_SP:David20171018   $0 _x001f_</t>
  </si>
  <si>
    <t xml:space="preserve">/PR:Books_SP:David20171029  $0     _x001d_</t>
  </si>
  <si>
    <t xml:space="preserve">//PR:Clothing___SP:Barney20171028    $1976 _x001e_</t>
  </si>
  <si>
    <t xml:space="preserve">/////PR:Clothing_SP:David20171021    $847   _x001f_</t>
  </si>
  <si>
    <t xml:space="preserve">/////PR:Music_____SP:David20171014    $1203     _x001c_</t>
  </si>
  <si>
    <t xml:space="preserve">/PR:Music_____SP:David20171023     $0    _x001f_</t>
  </si>
  <si>
    <t xml:space="preserve">/PR:Music_____SP:Alice20171025     $1069 _x001f_</t>
  </si>
  <si>
    <t xml:space="preserve">/PR:Books_____SP:David20171026    $837  _x001e_</t>
  </si>
  <si>
    <t xml:space="preserve">//PR:Games___SP:Carol20171027     $2326   _x001e_</t>
  </si>
  <si>
    <t xml:space="preserve">////PR:Music__SP:Carol20171027   $1060   _x001c_</t>
  </si>
  <si>
    <t xml:space="preserve">/PR:Books_SP:David2017105 $540 _x001f_</t>
  </si>
  <si>
    <t xml:space="preserve">/////PR:Music_SP:Barney2017106   $973     _x001f_</t>
  </si>
  <si>
    <t xml:space="preserve">////PR:Games__SP:Alice20171018 $2109   _x001e_</t>
  </si>
  <si>
    <t xml:space="preserve">////PR:Books__SP:Carol20171016 $618     _x001e_</t>
  </si>
  <si>
    <t xml:space="preserve">/////PR:Clothing_SP:Carol20171016   $1602    _x001d_</t>
  </si>
  <si>
    <t xml:space="preserve">/////PR:Games__SP:Carol20171031   $0   _x001e_</t>
  </si>
  <si>
    <t xml:space="preserve">//PR:Games__SP:Carol2017104     $0 _x001e_</t>
  </si>
  <si>
    <t xml:space="preserve">/PR:Games_____SP:Carol20171013  $1546    _x001d_</t>
  </si>
  <si>
    <t xml:space="preserve">///PR:Games_____SP:Carol2017108  $2008  _x001c_</t>
  </si>
  <si>
    <t xml:space="preserve">////PR:Games_SP:Alice2017101 $2292  _x001e_</t>
  </si>
  <si>
    <t xml:space="preserve">/PR:Books_SP:Alice20171015    $952  _x001e_</t>
  </si>
  <si>
    <t xml:space="preserve">///PR:Books__SP:Alice2017102 $547   _x001d_</t>
  </si>
  <si>
    <t xml:space="preserve">///PR:Clothing__SP:David2017103 $1671 _x001f_</t>
  </si>
  <si>
    <t xml:space="preserve">/////PR:Music__SP:Carol2017102    $1007     _x001c_</t>
  </si>
  <si>
    <t xml:space="preserve">///PR:Music__SP:Barney20171018   $1347  _x001e_</t>
  </si>
  <si>
    <t xml:space="preserve">//PR:Clothing_____SP:Carol20171027     $0  _x001e_</t>
  </si>
  <si>
    <t xml:space="preserve">////PR:Music__SP:David2017101     $1396     _x001f_</t>
  </si>
  <si>
    <t xml:space="preserve">/PR:Music____SP:Alice20171023    $1212 _x001c_</t>
  </si>
  <si>
    <t xml:space="preserve">/PR:Books__SP:Alice20171025 $0 _x001d_</t>
  </si>
  <si>
    <t xml:space="preserve">///PR:Books_____SP:Barney20171017 $726     _x001f_</t>
  </si>
  <si>
    <t xml:space="preserve">/PR:Games___SP:David20171023    $0  _x001f_</t>
  </si>
  <si>
    <t xml:space="preserve">/PR:Music_____SP:Carol2017107  $0    _x001c_</t>
  </si>
  <si>
    <t xml:space="preserve">////PR:Books_SP:Carol20171022 $505     _x001f_</t>
  </si>
  <si>
    <t xml:space="preserve">/PR:Music__SP:Barney20171016    $0 _x001f_</t>
  </si>
  <si>
    <t xml:space="preserve">/////PR:Games_SP:Alice2017104     $2364   _x001f_</t>
  </si>
  <si>
    <t xml:space="preserve">/////PR:Clothing____SP:Barney20171013  $0 _x001e_</t>
  </si>
  <si>
    <t xml:space="preserve">////PR:Games_____SP:David20171011 $1930  _x001c_</t>
  </si>
  <si>
    <t xml:space="preserve">////PR:Books___SP:Carol20171018 $529   _x001d_</t>
  </si>
  <si>
    <t xml:space="preserve">//PR:Clothing_____SP:Alice20171020 $688 _x001c_</t>
  </si>
  <si>
    <t xml:space="preserve">/PR:Games__SP:David20171016    $0  _x001e_</t>
  </si>
  <si>
    <t xml:space="preserve">/PR:Books_SP:Carol2017107     $0   _x001c_</t>
  </si>
  <si>
    <t xml:space="preserve">///PR:Music__SP:Alice20171029  $1338     _x001c_</t>
  </si>
  <si>
    <t xml:space="preserve">//PR:Books__SP:Barney20171030   $695    _x001e_</t>
  </si>
  <si>
    <t xml:space="preserve">//PR:Books_____SP:Alice20171028   $543 _x001c_</t>
  </si>
  <si>
    <t xml:space="preserve">/////PR:Music____SP:Alice20171016    $0  _x001e_</t>
  </si>
  <si>
    <t xml:space="preserve">/////PR:Books___SP:Alice20171018    $523  _x001c_</t>
  </si>
  <si>
    <t xml:space="preserve">/////PR:Games_SP:Alice2017108     $1218   _x001f_</t>
  </si>
  <si>
    <t xml:space="preserve">///PR:Books_SP:Barney20171025     $838    _x001c_</t>
  </si>
  <si>
    <t xml:space="preserve">//PR:Games__SP:David20171018     $1893     _x001f_</t>
  </si>
  <si>
    <t xml:space="preserve">//PR:Clothing_____SP:Alice2017109  $989 _x001d_</t>
  </si>
  <si>
    <t xml:space="preserve">////PR:Music___SP:Barney20171014   $1144    _x001f_</t>
  </si>
  <si>
    <t xml:space="preserve">//PR:Clothing_____SP:Alice20171022    $1619   _x001f_</t>
  </si>
  <si>
    <t xml:space="preserve">/PR:Books_SP:David20171011  $842     _x001f_</t>
  </si>
  <si>
    <t xml:space="preserve">/PR:Games__SP:Alice2017105  $2369  _x001c_</t>
  </si>
  <si>
    <t xml:space="preserve">//PR:Books__SP:Barney2017108 $981    _x001c_</t>
  </si>
  <si>
    <t xml:space="preserve">//PR:Games_____SP:Alice20171012 $2500  _x001c_</t>
  </si>
  <si>
    <t xml:space="preserve">///PR:Music__SP:Carol20171010     $951    _x001d_</t>
  </si>
  <si>
    <t xml:space="preserve">//PR:Music____SP:David20171016 $1330 _x001d_</t>
  </si>
  <si>
    <t xml:space="preserve">//PR:Games_SP:Carol20171017     $2487    _x001d_</t>
  </si>
  <si>
    <t xml:space="preserve">/PR:Music___SP:Carol20171029   $1464   _x001e_</t>
  </si>
  <si>
    <t xml:space="preserve">///PR:Books____SP:David2017101  $0   _x001d_</t>
  </si>
  <si>
    <t xml:space="preserve">/PR:Games_____SP:Alice20171013 $1045 _x001d_</t>
  </si>
  <si>
    <t xml:space="preserve">////PR:Games_____SP:Alice20171015 $0   _x001e_</t>
  </si>
  <si>
    <t xml:space="preserve">/////PR:Books___SP:Alice2017107 $0  _x001f_</t>
  </si>
  <si>
    <t xml:space="preserve">//PR:Clothing__SP:David20171022  $0   _x001c_</t>
  </si>
  <si>
    <t xml:space="preserve">/PR:Games___SP:Alice2017102    $0     _x001e_</t>
  </si>
  <si>
    <t xml:space="preserve">/PR:Clothing___SP:Alice20171028 $1021     _x001f_</t>
  </si>
  <si>
    <t xml:space="preserve">/PR:Games____SP:Alice20171028   $1887    _x001f_</t>
  </si>
  <si>
    <t xml:space="preserve">/PR:Games___SP:Barney20171012    $1700  _x001e_</t>
  </si>
  <si>
    <t xml:space="preserve">////PR:Music_____SP:Barney20171011     $1382    _x001c_</t>
  </si>
  <si>
    <t xml:space="preserve">/////PR:Books_SP:Barney20171021  $808    _x001e_</t>
  </si>
  <si>
    <t xml:space="preserve">///PR:Music____SP:David20171019     $0     _x001f_</t>
  </si>
  <si>
    <t xml:space="preserve">//PR:Music_SP:Carol20171025 $1496  _x001d_</t>
  </si>
  <si>
    <t xml:space="preserve">/PR:Clothing___SP:Alice20171011 $1375   _x001e_</t>
  </si>
  <si>
    <t xml:space="preserve">/////PR:Books_SP:Alice2017106   $750   _x001c_</t>
  </si>
  <si>
    <t xml:space="preserve">/////PR:Books_____SP:David2017102     $890 _x001c_</t>
  </si>
  <si>
    <t xml:space="preserve">/PR:Music_SP:David2017109 $1345 _x001c_</t>
  </si>
  <si>
    <t xml:space="preserve">////PR:Music___SP:Alice20171024   $0    _x001d_</t>
  </si>
  <si>
    <t xml:space="preserve">/PR:Clothing__SP:David20171030 $660 _x001d_</t>
  </si>
  <si>
    <t xml:space="preserve">////PR:Clothing___SP:Barney20171021 $0    _x001f_</t>
  </si>
  <si>
    <t xml:space="preserve">//PR:Games_____SP:Barney20171020   $2380     _x001e_</t>
  </si>
  <si>
    <t xml:space="preserve">/////PR:Books____SP:Carol20171025  $515   _x001c_</t>
  </si>
  <si>
    <t xml:space="preserve">////PR:Clothing__SP:Alice20171017    $650 _x001c_</t>
  </si>
  <si>
    <t xml:space="preserve">////PR:Books_SP:Barney2017109 $0   _x001d_</t>
  </si>
  <si>
    <t xml:space="preserve">///PR:Clothing__SP:Barney2017102  $1988    _x001d_</t>
  </si>
  <si>
    <t xml:space="preserve">/////PR:Music__SP:Carol20171020    $0     _x001d_</t>
  </si>
  <si>
    <t xml:space="preserve">////PR:Books___SP:David2017108     $501     _x001f_</t>
  </si>
  <si>
    <t xml:space="preserve">//PR:Clothing_____SP:Alice2017108  $859     _x001d_</t>
  </si>
  <si>
    <t xml:space="preserve">////PR:Clothing__SP:Barney20171014 $0   _x001d_</t>
  </si>
  <si>
    <t xml:space="preserve">////PR:Books___SP:Barney20171024  $743  _x001e_</t>
  </si>
  <si>
    <t xml:space="preserve">/////PR:Books_____SP:Alice20171027    $0  _x001e_</t>
  </si>
  <si>
    <t xml:space="preserve">/////PR:Books_____SP:Barney20171020 $0 _x001e_</t>
  </si>
  <si>
    <t xml:space="preserve">/PR:Music__SP:Alice2017106 $1010 _x001c_</t>
  </si>
  <si>
    <t xml:space="preserve">Sales Person</t>
  </si>
  <si>
    <t xml:space="preserve">Sales Amount ($)</t>
  </si>
  <si>
    <t xml:space="preserve">Date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</si>
</sst>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yyyy\-mm\-dd"/>
    <numFmt numFmtId="167" formatCode="[$-C09]d\ mmmm\ yyyy;@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8"/>
      <color theme="1"/>
      <name val="Arial"/>
      <family val="2"/>
      <charset val="1"/>
    </font>
    <font>
      <sz val="24"/>
      <color theme="1"/>
      <name val="Arial"/>
      <family val="2"/>
      <charset val="1"/>
    </font>
    <font>
      <b val="true"/>
      <i val="true"/>
      <sz val="24"/>
      <color theme="1"/>
      <name val="Calibri Light"/>
      <family val="2"/>
      <charset val="1"/>
    </font>
    <font>
      <b val="true"/>
      <sz val="14"/>
      <color theme="1"/>
      <name val="Arial"/>
      <family val="2"/>
      <charset val="1"/>
    </font>
    <font>
      <sz val="14"/>
      <color theme="1"/>
      <name val="Arial"/>
      <family val="2"/>
      <charset val="1"/>
    </font>
    <font>
      <sz val="11"/>
      <color theme="1"/>
      <name val="Arial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rgb="FFFA7D00"/>
      <name val="Calibri"/>
      <family val="2"/>
      <charset val="1"/>
    </font>
    <font>
      <b val="true"/>
      <sz val="11"/>
      <color rgb="FF0000FF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1"/>
      <color rgb="FFFF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theme="0"/>
        <bgColor rgb="FFF2F2F2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thick">
        <color theme="1"/>
      </top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left" vertical="bottom" textRotation="0" wrapText="false" indent="3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bottom" textRotation="0" wrapText="false" indent="3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4" xfId="0" applyFont="true" applyBorder="true" applyAlignment="true" applyProtection="false">
      <alignment horizontal="left" vertical="bottom" textRotation="0" wrapText="false" indent="3" shrinkToFit="false"/>
      <protection locked="true" hidden="false"/>
    </xf>
    <xf numFmtId="164" fontId="8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Calculation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A7D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6</xdr:col>
      <xdr:colOff>35640</xdr:colOff>
      <xdr:row>5</xdr:row>
      <xdr:rowOff>270360</xdr:rowOff>
    </xdr:to>
    <xdr:pic>
      <xdr:nvPicPr>
        <xdr:cNvPr id="0" name="Picture 1" descr=""/>
        <xdr:cNvPicPr/>
      </xdr:nvPicPr>
      <xdr:blipFill>
        <a:blip r:embed="rId1"/>
        <a:srcRect l="0" t="7091" r="0" b="0"/>
        <a:stretch/>
      </xdr:blipFill>
      <xdr:spPr>
        <a:xfrm>
          <a:off x="0" y="0"/>
          <a:ext cx="4983480" cy="16419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6" activeCellId="0" sqref="I6"/>
    </sheetView>
  </sheetViews>
  <sheetFormatPr defaultColWidth="9.88671875" defaultRowHeight="14.25" zeroHeight="false" outlineLevelRow="0" outlineLevelCol="0"/>
  <cols>
    <col collapsed="false" customWidth="false" hidden="false" outlineLevel="0" max="1" min="1" style="1" width="9.88"/>
    <col collapsed="false" customWidth="true" hidden="false" outlineLevel="0" max="2" min="2" style="2" width="12"/>
    <col collapsed="false" customWidth="true" hidden="false" outlineLevel="0" max="3" min="3" style="2" width="15.88"/>
    <col collapsed="false" customWidth="true" hidden="false" outlineLevel="0" max="4" min="4" style="2" width="12.67"/>
    <col collapsed="false" customWidth="false" hidden="false" outlineLevel="0" max="6" min="5" style="2" width="9.88"/>
    <col collapsed="false" customWidth="true" hidden="false" outlineLevel="0" max="7" min="7" style="2" width="11"/>
    <col collapsed="false" customWidth="true" hidden="false" outlineLevel="0" max="8" min="8" style="2" width="19.11"/>
    <col collapsed="false" customWidth="true" hidden="false" outlineLevel="0" max="9" min="9" style="2" width="3.67"/>
    <col collapsed="false" customWidth="true" hidden="false" outlineLevel="0" max="10" min="10" style="2" width="3.88"/>
    <col collapsed="false" customWidth="true" hidden="false" outlineLevel="0" max="12" min="11" style="2" width="12.33"/>
    <col collapsed="false" customWidth="true" hidden="false" outlineLevel="0" max="13" min="13" style="2" width="47.44"/>
    <col collapsed="false" customWidth="true" hidden="false" outlineLevel="0" max="14" min="14" style="2" width="4.44"/>
    <col collapsed="false" customWidth="true" hidden="false" outlineLevel="0" max="15" min="15" style="2" width="4"/>
    <col collapsed="false" customWidth="true" hidden="false" outlineLevel="0" max="16" min="16" style="2" width="12.33"/>
    <col collapsed="false" customWidth="false" hidden="false" outlineLevel="0" max="16384" min="17" style="2" width="9.88"/>
  </cols>
  <sheetData>
    <row r="1" customFormat="false" ht="14.25" hidden="false" customHeight="false" outlineLevel="0" collapsed="false">
      <c r="H1" s="3"/>
    </row>
    <row r="2" customFormat="false" ht="34.5" hidden="false" customHeight="true" outlineLevel="0" collapsed="false">
      <c r="H2" s="4" t="s">
        <v>0</v>
      </c>
      <c r="I2" s="4"/>
      <c r="J2" s="4"/>
      <c r="K2" s="4"/>
      <c r="L2" s="4"/>
      <c r="M2" s="4"/>
      <c r="N2" s="4"/>
      <c r="O2" s="4"/>
      <c r="P2" s="4"/>
    </row>
    <row r="3" customFormat="false" ht="14.25" hidden="false" customHeight="false" outlineLevel="0" collapsed="false">
      <c r="H3" s="3"/>
    </row>
    <row r="4" customFormat="false" ht="30" hidden="false" customHeight="true" outlineLevel="0" collapsed="false">
      <c r="H4" s="5" t="s">
        <v>1</v>
      </c>
      <c r="I4" s="5"/>
      <c r="J4" s="5"/>
      <c r="K4" s="5"/>
      <c r="L4" s="5"/>
      <c r="M4" s="5"/>
      <c r="N4" s="5"/>
      <c r="O4" s="5"/>
      <c r="P4" s="5"/>
    </row>
    <row r="5" customFormat="false" ht="15" hidden="false" customHeight="true" outlineLevel="0" collapsed="false">
      <c r="H5" s="3"/>
    </row>
    <row r="6" customFormat="false" ht="31.5" hidden="false" customHeight="true" outlineLevel="0" collapsed="false">
      <c r="H6" s="3"/>
      <c r="I6" s="6" t="s">
        <v>2</v>
      </c>
      <c r="J6" s="6"/>
      <c r="K6" s="6"/>
      <c r="L6" s="6"/>
      <c r="M6" s="6"/>
      <c r="N6" s="6"/>
      <c r="O6" s="6"/>
    </row>
    <row r="10" customFormat="false" ht="18" hidden="false" customHeight="true" outlineLevel="0" collapsed="false">
      <c r="A10" s="7" t="s">
        <v>3</v>
      </c>
      <c r="B10" s="8"/>
      <c r="C10" s="8"/>
      <c r="D10" s="8"/>
      <c r="E10" s="8"/>
      <c r="F10" s="8"/>
      <c r="G10" s="8"/>
    </row>
    <row r="11" customFormat="false" ht="18" hidden="false" customHeight="true" outlineLevel="0" collapsed="false">
      <c r="A11" s="9"/>
      <c r="B11" s="10"/>
      <c r="C11" s="10"/>
      <c r="D11" s="10"/>
      <c r="E11" s="10"/>
      <c r="F11" s="10"/>
      <c r="G11" s="10"/>
      <c r="H11" s="10"/>
    </row>
    <row r="12" customFormat="false" ht="89.25" hidden="false" customHeight="true" outlineLevel="0" collapsed="false">
      <c r="B12" s="11" t="s">
        <v>4</v>
      </c>
      <c r="C12" s="11"/>
      <c r="D12" s="11"/>
      <c r="E12" s="11"/>
      <c r="F12" s="11"/>
      <c r="G12" s="11"/>
      <c r="H12" s="11"/>
      <c r="I12" s="12"/>
      <c r="J12" s="12"/>
      <c r="K12" s="12"/>
      <c r="L12" s="12"/>
      <c r="M12" s="12"/>
      <c r="N12" s="12"/>
      <c r="O12" s="12"/>
    </row>
    <row r="13" customFormat="false" ht="9" hidden="false" customHeight="true" outlineLevel="0" collapsed="false"/>
    <row r="14" customFormat="false" ht="5.25" hidden="false" customHeight="true" outlineLevel="0" collapsed="false"/>
    <row r="15" customFormat="false" ht="14.25" hidden="false" customHeight="false" outlineLevel="0" collapsed="false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</row>
    <row r="16" customFormat="false" ht="14.25" hidden="false" customHeight="false" outlineLevel="0" collapsed="false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</row>
    <row r="17" customFormat="false" ht="14.25" hidden="false" customHeight="false" outlineLevel="0" collapsed="false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</row>
    <row r="18" customFormat="false" ht="14.25" hidden="false" customHeight="false" outlineLevel="0" collapsed="false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</row>
    <row r="19" customFormat="false" ht="14.25" hidden="false" customHeight="false" outlineLevel="0" collapsed="false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</row>
    <row r="20" customFormat="false" ht="14.25" hidden="false" customHeight="false" outlineLevel="0" collapsed="false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</row>
    <row r="21" customFormat="false" ht="14.25" hidden="false" customHeight="false" outlineLevel="0" collapsed="false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</row>
    <row r="22" customFormat="false" ht="14.25" hidden="false" customHeight="false" outlineLevel="0" collapsed="false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</row>
    <row r="23" customFormat="false" ht="14.25" hidden="false" customHeight="false" outlineLevel="0" collapsed="false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</row>
    <row r="24" customFormat="false" ht="14.25" hidden="false" customHeight="false" outlineLevel="0" collapsed="false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</row>
    <row r="25" customFormat="false" ht="14.25" hidden="false" customHeight="false" outlineLevel="0" collapsed="false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</row>
    <row r="26" customFormat="false" ht="14.25" hidden="false" customHeight="false" outlineLevel="0" collapsed="false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</row>
    <row r="27" customFormat="false" ht="14.25" hidden="false" customHeight="false" outlineLevel="0" collapsed="false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</row>
    <row r="28" customFormat="false" ht="14.25" hidden="false" customHeight="false" outlineLevel="0" collapsed="false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</row>
    <row r="29" customFormat="false" ht="14.25" hidden="false" customHeight="false" outlineLevel="0" collapsed="false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</row>
    <row r="30" customFormat="false" ht="14.25" hidden="false" customHeight="false" outlineLevel="0" collapsed="false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</sheetData>
  <mergeCells count="4">
    <mergeCell ref="H2:P2"/>
    <mergeCell ref="H4:P4"/>
    <mergeCell ref="I6:O6"/>
    <mergeCell ref="B12:H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0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B2" activeCellId="0" sqref="B2"/>
    </sheetView>
  </sheetViews>
  <sheetFormatPr defaultColWidth="8.6796875" defaultRowHeight="14.25" zeroHeight="false" outlineLevelRow="0" outlineLevelCol="0"/>
  <cols>
    <col collapsed="false" customWidth="true" hidden="false" outlineLevel="0" max="1" min="1" style="14" width="10.44"/>
    <col collapsed="false" customWidth="true" hidden="false" outlineLevel="0" max="2" min="2" style="14" width="50.67"/>
    <col collapsed="false" customWidth="true" hidden="false" outlineLevel="0" max="4" min="4" style="14" width="43.11"/>
    <col collapsed="false" customWidth="true" hidden="false" outlineLevel="0" max="6" min="6" style="14" width="43.56"/>
    <col collapsed="false" customWidth="true" hidden="false" outlineLevel="0" max="7" min="7" style="14" width="41.11"/>
    <col collapsed="false" customWidth="true" hidden="false" outlineLevel="0" max="8" min="8" style="14" width="37.44"/>
    <col collapsed="false" customWidth="true" hidden="false" outlineLevel="0" max="9" min="9" style="14" width="36"/>
    <col collapsed="false" customWidth="true" hidden="false" outlineLevel="0" max="12" min="12" style="14" width="31.88"/>
    <col collapsed="false" customWidth="true" hidden="false" outlineLevel="0" max="13" min="13" style="14" width="28.56"/>
    <col collapsed="false" customWidth="true" hidden="false" outlineLevel="0" max="14" min="14" style="14" width="31.11"/>
    <col collapsed="false" customWidth="true" hidden="false" outlineLevel="0" max="21" min="18" style="14" width="15.66"/>
    <col collapsed="false" customWidth="true" hidden="false" outlineLevel="0" max="22" min="22" style="14" width="19.33"/>
  </cols>
  <sheetData>
    <row r="1" customFormat="false" ht="14.25" hidden="false" customHeight="false" outlineLevel="0" collapsed="false">
      <c r="A1" s="15" t="s">
        <v>5</v>
      </c>
      <c r="B1" s="15"/>
      <c r="C1" s="15" t="n">
        <v>1</v>
      </c>
      <c r="D1" s="16" t="n">
        <v>2</v>
      </c>
      <c r="E1" s="16" t="n">
        <v>3</v>
      </c>
      <c r="F1" s="16" t="n">
        <v>6</v>
      </c>
      <c r="G1" s="16" t="n">
        <v>7</v>
      </c>
      <c r="H1" s="16" t="n">
        <v>8</v>
      </c>
      <c r="I1" s="16"/>
      <c r="J1" s="16" t="n">
        <v>9</v>
      </c>
      <c r="K1" s="16"/>
      <c r="L1" s="16" t="n">
        <v>10</v>
      </c>
      <c r="M1" s="16" t="n">
        <v>11</v>
      </c>
      <c r="N1" s="16"/>
      <c r="O1" s="16" t="n">
        <v>12</v>
      </c>
      <c r="P1" s="16" t="n">
        <v>13</v>
      </c>
      <c r="Q1" s="16" t="n">
        <v>14</v>
      </c>
      <c r="R1" s="16" t="n">
        <v>15</v>
      </c>
      <c r="S1" s="16" t="n">
        <v>16</v>
      </c>
      <c r="T1" s="16" t="n">
        <v>17</v>
      </c>
      <c r="U1" s="16" t="n">
        <v>18</v>
      </c>
      <c r="V1" s="16" t="n">
        <v>19</v>
      </c>
    </row>
    <row r="2" customFormat="false" ht="14.25" hidden="false" customHeight="false" outlineLevel="0" collapsed="false">
      <c r="A2" s="17" t="s">
        <v>6</v>
      </c>
      <c r="B2" s="18" t="n">
        <f aca="false">Check_Sum</f>
        <v>0</v>
      </c>
      <c r="C2" s="18"/>
      <c r="D2" s="18" t="n">
        <f aca="false">Check_Sum</f>
        <v>0</v>
      </c>
      <c r="E2" s="18"/>
      <c r="F2" s="18" t="n">
        <f aca="false">Check_Sum</f>
        <v>0</v>
      </c>
      <c r="G2" s="18" t="n">
        <f aca="false">Check_Sum</f>
        <v>0</v>
      </c>
      <c r="H2" s="18" t="n">
        <f aca="false">Check_Sum</f>
        <v>0</v>
      </c>
      <c r="I2" s="18" t="n">
        <f aca="false">Check_Sum</f>
        <v>0</v>
      </c>
      <c r="J2" s="19" t="n">
        <f aca="false">Normal_Sum</f>
        <v>15186</v>
      </c>
      <c r="K2" s="19" t="n">
        <f aca="false">Normal_Sum</f>
        <v>25440</v>
      </c>
      <c r="L2" s="18" t="n">
        <f aca="false">Check_Sum</f>
        <v>0</v>
      </c>
      <c r="M2" s="18" t="n">
        <f aca="false">Check_Sum</f>
        <v>0</v>
      </c>
      <c r="N2" s="18" t="n">
        <f aca="false">Check_Sum</f>
        <v>0</v>
      </c>
      <c r="O2" s="19" t="n">
        <f aca="false">Normal_Sum</f>
        <v>3348</v>
      </c>
      <c r="P2" s="19" t="n">
        <f aca="false">Normal_Sum</f>
        <v>6448</v>
      </c>
      <c r="Q2" s="19" t="n">
        <f aca="false">Normal_Sum</f>
        <v>10768</v>
      </c>
      <c r="R2" s="20" t="n">
        <f aca="false">Check_Sum_Short</f>
        <v>0</v>
      </c>
      <c r="S2" s="20" t="n">
        <f aca="false">Check_Sum_Short</f>
        <v>0</v>
      </c>
      <c r="T2" s="20" t="n">
        <f aca="false">Check_Sum_Short</f>
        <v>0</v>
      </c>
      <c r="U2" s="19" t="n">
        <f aca="false">Normal_Sum</f>
        <v>441522</v>
      </c>
      <c r="V2" s="20" t="n">
        <f aca="false">Check_Sum_Short</f>
        <v>0</v>
      </c>
    </row>
    <row r="3" customFormat="false" ht="14.25" hidden="false" customHeight="false" outlineLevel="0" collapsed="false">
      <c r="A3" s="15" t="s">
        <v>7</v>
      </c>
      <c r="C3" s="21" t="n">
        <f aca="false">COUNTIFS(C5:C500,30)</f>
        <v>126</v>
      </c>
      <c r="E3" s="21" t="n">
        <f aca="false">COUNTIFS(E5:E500,32)</f>
        <v>496</v>
      </c>
      <c r="N3" s="15" t="s">
        <v>8</v>
      </c>
      <c r="O3" s="22" t="s">
        <v>9</v>
      </c>
      <c r="P3" s="22" t="s">
        <v>10</v>
      </c>
      <c r="Q3" s="22" t="s">
        <v>11</v>
      </c>
      <c r="R3" s="15" t="s">
        <v>12</v>
      </c>
      <c r="S3" s="15" t="s">
        <v>13</v>
      </c>
      <c r="T3" s="15" t="s">
        <v>14</v>
      </c>
      <c r="U3" s="22" t="s">
        <v>15</v>
      </c>
      <c r="V3" s="22" t="s">
        <v>16</v>
      </c>
    </row>
    <row r="4" customFormat="false" ht="14.25" hidden="false" customHeight="false" outlineLevel="0" collapsed="false">
      <c r="A4" s="16" t="s">
        <v>17</v>
      </c>
      <c r="B4" s="15" t="s">
        <v>18</v>
      </c>
    </row>
    <row r="5" customFormat="false" ht="14.25" hidden="false" customHeight="false" outlineLevel="0" collapsed="false">
      <c r="A5" s="23" t="n">
        <v>1</v>
      </c>
      <c r="B5" s="14" t="s">
        <v>19</v>
      </c>
      <c r="C5" s="21" t="n">
        <f aca="false">CODE(RIGHT(B5,1))</f>
        <v>31</v>
      </c>
      <c r="D5" s="14" t="str">
        <f aca="false">CLEAN(B5)</f>
        <v>/PR:Games____SP:Barney20171027   $1250   </v>
      </c>
      <c r="E5" s="21" t="n">
        <f aca="false">CODE(RIGHT(D5,1))</f>
        <v>32</v>
      </c>
      <c r="F5" s="14" t="str">
        <f aca="false">SUBSTITUTE(D5,_xlfn.UNICHAR(160)," ")</f>
        <v>/PR:Games____SP:Barney20171027   $1250   </v>
      </c>
      <c r="G5" s="14" t="str">
        <f aca="false">SUBSTITUTE(F5,"/","")</f>
        <v>PR:Games____SP:Barney20171027   $1250   </v>
      </c>
      <c r="H5" s="14" t="str">
        <f aca="false">SUBSTITUTE(G5,"_"," ")</f>
        <v>PR:Games    SP:Barney20171027   $1250   </v>
      </c>
      <c r="I5" s="14" t="str">
        <f aca="false">TRIM(H5)</f>
        <v>PR:Games SP:Barney20171027 $1250</v>
      </c>
      <c r="J5" s="21" t="n">
        <f aca="false">LEN(I5)</f>
        <v>32</v>
      </c>
      <c r="K5" s="21" t="n">
        <f aca="false">CODE(RIGHT(I5,1))</f>
        <v>48</v>
      </c>
      <c r="L5" s="14" t="str">
        <f aca="false">SUBSTITUTE(I5,"PR:","")</f>
        <v>Games SP:Barney20171027 $1250</v>
      </c>
      <c r="M5" s="14" t="str">
        <f aca="false">SUBSTITUTE(L5,"SP:","")</f>
        <v>Games Barney20171027 $1250</v>
      </c>
      <c r="N5" s="15" t="str">
        <f aca="false">SUBSTITUTE(M5,"201710"," 201710")</f>
        <v>Games Barney 20171027 $1250</v>
      </c>
      <c r="O5" s="21" t="n">
        <f aca="false">FIND(" ",N5)</f>
        <v>6</v>
      </c>
      <c r="P5" s="21" t="n">
        <f aca="false">FIND(" ",N5,O5+1)</f>
        <v>13</v>
      </c>
      <c r="Q5" s="21" t="n">
        <f aca="false">FIND(" ",N5,P5+1)</f>
        <v>22</v>
      </c>
      <c r="R5" s="24" t="str">
        <f aca="false">LEFT(N5,O5-1)</f>
        <v>Games</v>
      </c>
      <c r="S5" s="24" t="str">
        <f aca="false">MID(N5,O5+1,P5-O5-1)</f>
        <v>Barney</v>
      </c>
      <c r="T5" s="24" t="str">
        <f aca="false">MID(N5,P5+1,Q5-P5-1)</f>
        <v>20171027</v>
      </c>
      <c r="U5" s="24" t="n">
        <f aca="false">VALUE(MID(N5,Q5+2,90))</f>
        <v>1250</v>
      </c>
      <c r="V5" s="25" t="n">
        <f aca="false">DATE(2017,10,MID(T5,7,2))</f>
        <v>43035</v>
      </c>
    </row>
    <row r="6" customFormat="false" ht="14.25" hidden="false" customHeight="false" outlineLevel="0" collapsed="false">
      <c r="A6" s="23" t="n">
        <f aca="false">A5+1</f>
        <v>2</v>
      </c>
      <c r="B6" s="14" t="s">
        <v>20</v>
      </c>
      <c r="C6" s="21" t="n">
        <f aca="false">CODE(RIGHT(B6,1))</f>
        <v>30</v>
      </c>
      <c r="D6" s="14" t="str">
        <f aca="false">CLEAN(B6)</f>
        <v>////PR:Music_SP:David20171020     $1054  </v>
      </c>
      <c r="E6" s="21" t="n">
        <f aca="false">CODE(RIGHT(D6,1))</f>
        <v>32</v>
      </c>
      <c r="F6" s="14" t="str">
        <f aca="false">SUBSTITUTE(D6,_xlfn.UNICHAR(160)," ")</f>
        <v>////PR:Music_SP:David20171020     $1054  </v>
      </c>
      <c r="G6" s="14" t="str">
        <f aca="false">SUBSTITUTE(F6,"/","")</f>
        <v>PR:Music_SP:David20171020     $1054  </v>
      </c>
      <c r="H6" s="14" t="str">
        <f aca="false">SUBSTITUTE(G6,"_"," ")</f>
        <v>PR:Music SP:David20171020     $1054  </v>
      </c>
      <c r="I6" s="14" t="str">
        <f aca="false">TRIM(H6)</f>
        <v>PR:Music SP:David20171020 $1054</v>
      </c>
      <c r="J6" s="21" t="n">
        <f aca="false">LEN(I6)</f>
        <v>31</v>
      </c>
      <c r="K6" s="21" t="n">
        <f aca="false">CODE(RIGHT(I6,1))</f>
        <v>52</v>
      </c>
      <c r="L6" s="14" t="str">
        <f aca="false">SUBSTITUTE(I6,"PR:","")</f>
        <v>Music SP:David20171020 $1054</v>
      </c>
      <c r="M6" s="14" t="str">
        <f aca="false">SUBSTITUTE(L6,"SP:","")</f>
        <v>Music David20171020 $1054</v>
      </c>
      <c r="N6" s="15" t="str">
        <f aca="false">SUBSTITUTE(M6,"201710"," 201710")</f>
        <v>Music David 20171020 $1054</v>
      </c>
      <c r="O6" s="21" t="n">
        <f aca="false">FIND(" ",N6)</f>
        <v>6</v>
      </c>
      <c r="P6" s="21" t="n">
        <f aca="false">FIND(" ",N6,O6+1)</f>
        <v>12</v>
      </c>
      <c r="Q6" s="21" t="n">
        <f aca="false">FIND(" ",N6,P6+1)</f>
        <v>21</v>
      </c>
      <c r="R6" s="26" t="str">
        <f aca="false">LEFT(N6,O6-1)</f>
        <v>Music</v>
      </c>
      <c r="S6" s="26" t="str">
        <f aca="false">MID(N6,O6+1,P6-O6-1)</f>
        <v>David</v>
      </c>
      <c r="T6" s="26" t="str">
        <f aca="false">MID(N6,P6+1,Q6-P6-1)</f>
        <v>20171020</v>
      </c>
      <c r="U6" s="26" t="n">
        <f aca="false">VALUE(MID(N6,Q6+2,90))</f>
        <v>1054</v>
      </c>
      <c r="V6" s="27" t="n">
        <f aca="false">DATE(2017,10,MID(T6,7,2))</f>
        <v>43028</v>
      </c>
    </row>
    <row r="7" customFormat="false" ht="14.25" hidden="false" customHeight="false" outlineLevel="0" collapsed="false">
      <c r="A7" s="23" t="n">
        <f aca="false">A6+1</f>
        <v>3</v>
      </c>
      <c r="B7" s="14" t="s">
        <v>21</v>
      </c>
      <c r="C7" s="21" t="n">
        <f aca="false">CODE(RIGHT(B7,1))</f>
        <v>28</v>
      </c>
      <c r="D7" s="14" t="str">
        <f aca="false">CLEAN(B7)</f>
        <v>//PR:Books__SP:Barney20171027     $699     </v>
      </c>
      <c r="E7" s="21" t="n">
        <f aca="false">CODE(RIGHT(D7,1))</f>
        <v>32</v>
      </c>
      <c r="F7" s="14" t="str">
        <f aca="false">SUBSTITUTE(D7,_xlfn.UNICHAR(160)," ")</f>
        <v>//PR:Books__SP:Barney20171027     $699     </v>
      </c>
      <c r="G7" s="14" t="str">
        <f aca="false">SUBSTITUTE(F7,"/","")</f>
        <v>PR:Books__SP:Barney20171027     $699     </v>
      </c>
      <c r="H7" s="14" t="str">
        <f aca="false">SUBSTITUTE(G7,"_"," ")</f>
        <v>PR:Books  SP:Barney20171027     $699     </v>
      </c>
      <c r="I7" s="14" t="str">
        <f aca="false">TRIM(H7)</f>
        <v>PR:Books SP:Barney20171027 $699</v>
      </c>
      <c r="J7" s="21" t="n">
        <f aca="false">LEN(I7)</f>
        <v>31</v>
      </c>
      <c r="K7" s="21" t="n">
        <f aca="false">CODE(RIGHT(I7,1))</f>
        <v>57</v>
      </c>
      <c r="L7" s="14" t="str">
        <f aca="false">SUBSTITUTE(I7,"PR:","")</f>
        <v>Books SP:Barney20171027 $699</v>
      </c>
      <c r="M7" s="14" t="str">
        <f aca="false">SUBSTITUTE(L7,"SP:","")</f>
        <v>Books Barney20171027 $699</v>
      </c>
      <c r="N7" s="15" t="str">
        <f aca="false">SUBSTITUTE(M7,"201710"," 201710")</f>
        <v>Books Barney 20171027 $699</v>
      </c>
      <c r="O7" s="21" t="n">
        <f aca="false">FIND(" ",N7)</f>
        <v>6</v>
      </c>
      <c r="P7" s="21" t="n">
        <f aca="false">FIND(" ",N7,O7+1)</f>
        <v>13</v>
      </c>
      <c r="Q7" s="21" t="n">
        <f aca="false">FIND(" ",N7,P7+1)</f>
        <v>22</v>
      </c>
      <c r="R7" s="26" t="str">
        <f aca="false">LEFT(N7,O7-1)</f>
        <v>Books</v>
      </c>
      <c r="S7" s="26" t="str">
        <f aca="false">MID(N7,O7+1,P7-O7-1)</f>
        <v>Barney</v>
      </c>
      <c r="T7" s="26" t="str">
        <f aca="false">MID(N7,P7+1,Q7-P7-1)</f>
        <v>20171027</v>
      </c>
      <c r="U7" s="26" t="n">
        <f aca="false">VALUE(MID(N7,Q7+2,90))</f>
        <v>699</v>
      </c>
      <c r="V7" s="27" t="n">
        <f aca="false">DATE(2017,10,MID(T7,7,2))</f>
        <v>43035</v>
      </c>
    </row>
    <row r="8" customFormat="false" ht="14.25" hidden="false" customHeight="false" outlineLevel="0" collapsed="false">
      <c r="A8" s="23" t="n">
        <f aca="false">A7+1</f>
        <v>4</v>
      </c>
      <c r="B8" s="14" t="s">
        <v>22</v>
      </c>
      <c r="C8" s="21" t="n">
        <f aca="false">CODE(RIGHT(B8,1))</f>
        <v>28</v>
      </c>
      <c r="D8" s="14" t="str">
        <f aca="false">CLEAN(B8)</f>
        <v>/PR:Music___SP:Carol20171031  $1305   </v>
      </c>
      <c r="E8" s="21" t="n">
        <f aca="false">CODE(RIGHT(D8,1))</f>
        <v>32</v>
      </c>
      <c r="F8" s="14" t="str">
        <f aca="false">SUBSTITUTE(D8,_xlfn.UNICHAR(160)," ")</f>
        <v>/PR:Music___SP:Carol20171031  $1305   </v>
      </c>
      <c r="G8" s="14" t="str">
        <f aca="false">SUBSTITUTE(F8,"/","")</f>
        <v>PR:Music___SP:Carol20171031  $1305   </v>
      </c>
      <c r="H8" s="14" t="str">
        <f aca="false">SUBSTITUTE(G8,"_"," ")</f>
        <v>PR:Music   SP:Carol20171031  $1305   </v>
      </c>
      <c r="I8" s="14" t="str">
        <f aca="false">TRIM(H8)</f>
        <v>PR:Music SP:Carol20171031 $1305</v>
      </c>
      <c r="J8" s="21" t="n">
        <f aca="false">LEN(I8)</f>
        <v>31</v>
      </c>
      <c r="K8" s="21" t="n">
        <f aca="false">CODE(RIGHT(I8,1))</f>
        <v>53</v>
      </c>
      <c r="L8" s="14" t="str">
        <f aca="false">SUBSTITUTE(I8,"PR:","")</f>
        <v>Music SP:Carol20171031 $1305</v>
      </c>
      <c r="M8" s="14" t="str">
        <f aca="false">SUBSTITUTE(L8,"SP:","")</f>
        <v>Music Carol20171031 $1305</v>
      </c>
      <c r="N8" s="15" t="str">
        <f aca="false">SUBSTITUTE(M8,"201710"," 201710")</f>
        <v>Music Carol 20171031 $1305</v>
      </c>
      <c r="O8" s="21" t="n">
        <f aca="false">FIND(" ",N8)</f>
        <v>6</v>
      </c>
      <c r="P8" s="21" t="n">
        <f aca="false">FIND(" ",N8,O8+1)</f>
        <v>12</v>
      </c>
      <c r="Q8" s="21" t="n">
        <f aca="false">FIND(" ",N8,P8+1)</f>
        <v>21</v>
      </c>
      <c r="R8" s="26" t="str">
        <f aca="false">LEFT(N8,O8-1)</f>
        <v>Music</v>
      </c>
      <c r="S8" s="26" t="str">
        <f aca="false">MID(N8,O8+1,P8-O8-1)</f>
        <v>Carol</v>
      </c>
      <c r="T8" s="26" t="str">
        <f aca="false">MID(N8,P8+1,Q8-P8-1)</f>
        <v>20171031</v>
      </c>
      <c r="U8" s="26" t="n">
        <f aca="false">VALUE(MID(N8,Q8+2,90))</f>
        <v>1305</v>
      </c>
      <c r="V8" s="27" t="n">
        <f aca="false">DATE(2017,10,MID(T8,7,2))</f>
        <v>43039</v>
      </c>
    </row>
    <row r="9" customFormat="false" ht="14.25" hidden="false" customHeight="false" outlineLevel="0" collapsed="false">
      <c r="A9" s="23" t="n">
        <f aca="false">A8+1</f>
        <v>5</v>
      </c>
      <c r="B9" s="14" t="s">
        <v>23</v>
      </c>
      <c r="C9" s="21" t="n">
        <f aca="false">CODE(RIGHT(B9,1))</f>
        <v>29</v>
      </c>
      <c r="D9" s="14" t="str">
        <f aca="false">CLEAN(B9)</f>
        <v>//PR:Games__SP:David20171027   $0 </v>
      </c>
      <c r="E9" s="21" t="n">
        <f aca="false">CODE(RIGHT(D9,1))</f>
        <v>32</v>
      </c>
      <c r="F9" s="14" t="str">
        <f aca="false">SUBSTITUTE(D9,_xlfn.UNICHAR(160)," ")</f>
        <v>//PR:Games__SP:David20171027   $0 </v>
      </c>
      <c r="G9" s="14" t="str">
        <f aca="false">SUBSTITUTE(F9,"/","")</f>
        <v>PR:Games__SP:David20171027   $0 </v>
      </c>
      <c r="H9" s="14" t="str">
        <f aca="false">SUBSTITUTE(G9,"_"," ")</f>
        <v>PR:Games  SP:David20171027   $0 </v>
      </c>
      <c r="I9" s="14" t="str">
        <f aca="false">TRIM(H9)</f>
        <v>PR:Games SP:David20171027 $0</v>
      </c>
      <c r="J9" s="21" t="n">
        <f aca="false">LEN(I9)</f>
        <v>28</v>
      </c>
      <c r="K9" s="21" t="n">
        <f aca="false">CODE(RIGHT(I9,1))</f>
        <v>48</v>
      </c>
      <c r="L9" s="14" t="str">
        <f aca="false">SUBSTITUTE(I9,"PR:","")</f>
        <v>Games SP:David20171027 $0</v>
      </c>
      <c r="M9" s="14" t="str">
        <f aca="false">SUBSTITUTE(L9,"SP:","")</f>
        <v>Games David20171027 $0</v>
      </c>
      <c r="N9" s="15" t="str">
        <f aca="false">SUBSTITUTE(M9,"201710"," 201710")</f>
        <v>Games David 20171027 $0</v>
      </c>
      <c r="O9" s="21" t="n">
        <f aca="false">FIND(" ",N9)</f>
        <v>6</v>
      </c>
      <c r="P9" s="21" t="n">
        <f aca="false">FIND(" ",N9,O9+1)</f>
        <v>12</v>
      </c>
      <c r="Q9" s="21" t="n">
        <f aca="false">FIND(" ",N9,P9+1)</f>
        <v>21</v>
      </c>
      <c r="R9" s="26" t="str">
        <f aca="false">LEFT(N9,O9-1)</f>
        <v>Games</v>
      </c>
      <c r="S9" s="26" t="str">
        <f aca="false">MID(N9,O9+1,P9-O9-1)</f>
        <v>David</v>
      </c>
      <c r="T9" s="26" t="str">
        <f aca="false">MID(N9,P9+1,Q9-P9-1)</f>
        <v>20171027</v>
      </c>
      <c r="U9" s="26" t="n">
        <f aca="false">VALUE(MID(N9,Q9+2,90))</f>
        <v>0</v>
      </c>
      <c r="V9" s="27" t="n">
        <f aca="false">DATE(2017,10,MID(T9,7,2))</f>
        <v>43035</v>
      </c>
    </row>
    <row r="10" customFormat="false" ht="14.25" hidden="false" customHeight="false" outlineLevel="0" collapsed="false">
      <c r="A10" s="23" t="n">
        <f aca="false">A9+1</f>
        <v>6</v>
      </c>
      <c r="B10" s="14" t="s">
        <v>24</v>
      </c>
      <c r="C10" s="21" t="n">
        <f aca="false">CODE(RIGHT(B10,1))</f>
        <v>29</v>
      </c>
      <c r="D10" s="14" t="str">
        <f aca="false">CLEAN(B10)</f>
        <v>//PR:Books___SP:Barney20171026     $740    </v>
      </c>
      <c r="E10" s="21" t="n">
        <f aca="false">CODE(RIGHT(D10,1))</f>
        <v>32</v>
      </c>
      <c r="F10" s="14" t="str">
        <f aca="false">SUBSTITUTE(D10,_xlfn.UNICHAR(160)," ")</f>
        <v>//PR:Books___SP:Barney20171026     $740    </v>
      </c>
      <c r="G10" s="14" t="str">
        <f aca="false">SUBSTITUTE(F10,"/","")</f>
        <v>PR:Books___SP:Barney20171026     $740    </v>
      </c>
      <c r="H10" s="14" t="str">
        <f aca="false">SUBSTITUTE(G10,"_"," ")</f>
        <v>PR:Books   SP:Barney20171026     $740    </v>
      </c>
      <c r="I10" s="14" t="str">
        <f aca="false">TRIM(H10)</f>
        <v>PR:Books SP:Barney20171026 $740</v>
      </c>
      <c r="J10" s="21" t="n">
        <f aca="false">LEN(I10)</f>
        <v>31</v>
      </c>
      <c r="K10" s="21" t="n">
        <f aca="false">CODE(RIGHT(I10,1))</f>
        <v>48</v>
      </c>
      <c r="L10" s="14" t="str">
        <f aca="false">SUBSTITUTE(I10,"PR:","")</f>
        <v>Books SP:Barney20171026 $740</v>
      </c>
      <c r="M10" s="14" t="str">
        <f aca="false">SUBSTITUTE(L10,"SP:","")</f>
        <v>Books Barney20171026 $740</v>
      </c>
      <c r="N10" s="15" t="str">
        <f aca="false">SUBSTITUTE(M10,"201710"," 201710")</f>
        <v>Books Barney 20171026 $740</v>
      </c>
      <c r="O10" s="21" t="n">
        <f aca="false">FIND(" ",N10)</f>
        <v>6</v>
      </c>
      <c r="P10" s="21" t="n">
        <f aca="false">FIND(" ",N10,O10+1)</f>
        <v>13</v>
      </c>
      <c r="Q10" s="21" t="n">
        <f aca="false">FIND(" ",N10,P10+1)</f>
        <v>22</v>
      </c>
      <c r="R10" s="26" t="str">
        <f aca="false">LEFT(N10,O10-1)</f>
        <v>Books</v>
      </c>
      <c r="S10" s="26" t="str">
        <f aca="false">MID(N10,O10+1,P10-O10-1)</f>
        <v>Barney</v>
      </c>
      <c r="T10" s="26" t="str">
        <f aca="false">MID(N10,P10+1,Q10-P10-1)</f>
        <v>20171026</v>
      </c>
      <c r="U10" s="26" t="n">
        <f aca="false">VALUE(MID(N10,Q10+2,90))</f>
        <v>740</v>
      </c>
      <c r="V10" s="27" t="n">
        <f aca="false">DATE(2017,10,MID(T10,7,2))</f>
        <v>43034</v>
      </c>
    </row>
    <row r="11" customFormat="false" ht="14.25" hidden="false" customHeight="false" outlineLevel="0" collapsed="false">
      <c r="A11" s="23" t="n">
        <f aca="false">A10+1</f>
        <v>7</v>
      </c>
      <c r="B11" s="14" t="s">
        <v>25</v>
      </c>
      <c r="C11" s="21" t="n">
        <f aca="false">CODE(RIGHT(B11,1))</f>
        <v>31</v>
      </c>
      <c r="D11" s="14" t="str">
        <f aca="false">CLEAN(B11)</f>
        <v>////PR:Clothing__SP:David20171011  $811    </v>
      </c>
      <c r="E11" s="21" t="n">
        <f aca="false">CODE(RIGHT(D11,1))</f>
        <v>32</v>
      </c>
      <c r="F11" s="14" t="str">
        <f aca="false">SUBSTITUTE(D11,_xlfn.UNICHAR(160)," ")</f>
        <v>////PR:Clothing__SP:David20171011  $811    </v>
      </c>
      <c r="G11" s="14" t="str">
        <f aca="false">SUBSTITUTE(F11,"/","")</f>
        <v>PR:Clothing__SP:David20171011  $811    </v>
      </c>
      <c r="H11" s="14" t="str">
        <f aca="false">SUBSTITUTE(G11,"_"," ")</f>
        <v>PR:Clothing  SP:David20171011  $811    </v>
      </c>
      <c r="I11" s="14" t="str">
        <f aca="false">TRIM(H11)</f>
        <v>PR:Clothing SP:David20171011 $811</v>
      </c>
      <c r="J11" s="21" t="n">
        <f aca="false">LEN(I11)</f>
        <v>33</v>
      </c>
      <c r="K11" s="21" t="n">
        <f aca="false">CODE(RIGHT(I11,1))</f>
        <v>49</v>
      </c>
      <c r="L11" s="14" t="str">
        <f aca="false">SUBSTITUTE(I11,"PR:","")</f>
        <v>Clothing SP:David20171011 $811</v>
      </c>
      <c r="M11" s="14" t="str">
        <f aca="false">SUBSTITUTE(L11,"SP:","")</f>
        <v>Clothing David20171011 $811</v>
      </c>
      <c r="N11" s="15" t="str">
        <f aca="false">SUBSTITUTE(M11,"201710"," 201710")</f>
        <v>Clothing David 20171011 $811</v>
      </c>
      <c r="O11" s="21" t="n">
        <f aca="false">FIND(" ",N11)</f>
        <v>9</v>
      </c>
      <c r="P11" s="21" t="n">
        <f aca="false">FIND(" ",N11,O11+1)</f>
        <v>15</v>
      </c>
      <c r="Q11" s="21" t="n">
        <f aca="false">FIND(" ",N11,P11+1)</f>
        <v>24</v>
      </c>
      <c r="R11" s="26" t="str">
        <f aca="false">LEFT(N11,O11-1)</f>
        <v>Clothing</v>
      </c>
      <c r="S11" s="26" t="str">
        <f aca="false">MID(N11,O11+1,P11-O11-1)</f>
        <v>David</v>
      </c>
      <c r="T11" s="26" t="str">
        <f aca="false">MID(N11,P11+1,Q11-P11-1)</f>
        <v>20171011</v>
      </c>
      <c r="U11" s="26" t="n">
        <f aca="false">VALUE(MID(N11,Q11+2,90))</f>
        <v>811</v>
      </c>
      <c r="V11" s="27" t="n">
        <f aca="false">DATE(2017,10,MID(T11,7,2))</f>
        <v>43019</v>
      </c>
    </row>
    <row r="12" customFormat="false" ht="14.25" hidden="false" customHeight="false" outlineLevel="0" collapsed="false">
      <c r="A12" s="23" t="n">
        <f aca="false">A11+1</f>
        <v>8</v>
      </c>
      <c r="B12" s="14" t="s">
        <v>26</v>
      </c>
      <c r="C12" s="21" t="n">
        <f aca="false">CODE(RIGHT(B12,1))</f>
        <v>29</v>
      </c>
      <c r="D12" s="14" t="str">
        <f aca="false">CLEAN(B12)</f>
        <v>/////PR:Clothing_____SP:David20171029   $1175 </v>
      </c>
      <c r="E12" s="21" t="n">
        <f aca="false">CODE(RIGHT(D12,1))</f>
        <v>32</v>
      </c>
      <c r="F12" s="14" t="str">
        <f aca="false">SUBSTITUTE(D12,_xlfn.UNICHAR(160)," ")</f>
        <v>/////PR:Clothing_____SP:David20171029   $1175 </v>
      </c>
      <c r="G12" s="14" t="str">
        <f aca="false">SUBSTITUTE(F12,"/","")</f>
        <v>PR:Clothing_____SP:David20171029   $1175 </v>
      </c>
      <c r="H12" s="14" t="str">
        <f aca="false">SUBSTITUTE(G12,"_"," ")</f>
        <v>PR:Clothing     SP:David20171029   $1175 </v>
      </c>
      <c r="I12" s="14" t="str">
        <f aca="false">TRIM(H12)</f>
        <v>PR:Clothing SP:David20171029 $1175</v>
      </c>
      <c r="J12" s="21" t="n">
        <f aca="false">LEN(I12)</f>
        <v>34</v>
      </c>
      <c r="K12" s="21" t="n">
        <f aca="false">CODE(RIGHT(I12,1))</f>
        <v>53</v>
      </c>
      <c r="L12" s="14" t="str">
        <f aca="false">SUBSTITUTE(I12,"PR:","")</f>
        <v>Clothing SP:David20171029 $1175</v>
      </c>
      <c r="M12" s="14" t="str">
        <f aca="false">SUBSTITUTE(L12,"SP:","")</f>
        <v>Clothing David20171029 $1175</v>
      </c>
      <c r="N12" s="15" t="str">
        <f aca="false">SUBSTITUTE(M12,"201710"," 201710")</f>
        <v>Clothing David 20171029 $1175</v>
      </c>
      <c r="O12" s="21" t="n">
        <f aca="false">FIND(" ",N12)</f>
        <v>9</v>
      </c>
      <c r="P12" s="21" t="n">
        <f aca="false">FIND(" ",N12,O12+1)</f>
        <v>15</v>
      </c>
      <c r="Q12" s="21" t="n">
        <f aca="false">FIND(" ",N12,P12+1)</f>
        <v>24</v>
      </c>
      <c r="R12" s="26" t="str">
        <f aca="false">LEFT(N12,O12-1)</f>
        <v>Clothing</v>
      </c>
      <c r="S12" s="26" t="str">
        <f aca="false">MID(N12,O12+1,P12-O12-1)</f>
        <v>David</v>
      </c>
      <c r="T12" s="26" t="str">
        <f aca="false">MID(N12,P12+1,Q12-P12-1)</f>
        <v>20171029</v>
      </c>
      <c r="U12" s="26" t="n">
        <f aca="false">VALUE(MID(N12,Q12+2,90))</f>
        <v>1175</v>
      </c>
      <c r="V12" s="27" t="n">
        <f aca="false">DATE(2017,10,MID(T12,7,2))</f>
        <v>43037</v>
      </c>
    </row>
    <row r="13" customFormat="false" ht="14.25" hidden="false" customHeight="false" outlineLevel="0" collapsed="false">
      <c r="A13" s="23" t="n">
        <f aca="false">A12+1</f>
        <v>9</v>
      </c>
      <c r="B13" s="14" t="s">
        <v>27</v>
      </c>
      <c r="C13" s="21" t="n">
        <f aca="false">CODE(RIGHT(B13,1))</f>
        <v>30</v>
      </c>
      <c r="D13" s="14" t="str">
        <f aca="false">CLEAN(B13)</f>
        <v>////PR:Books____SP:Alice20171013   $586  </v>
      </c>
      <c r="E13" s="21" t="n">
        <f aca="false">CODE(RIGHT(D13,1))</f>
        <v>32</v>
      </c>
      <c r="F13" s="14" t="str">
        <f aca="false">SUBSTITUTE(D13,_xlfn.UNICHAR(160)," ")</f>
        <v>////PR:Books____SP:Alice20171013   $586  </v>
      </c>
      <c r="G13" s="14" t="str">
        <f aca="false">SUBSTITUTE(F13,"/","")</f>
        <v>PR:Books____SP:Alice20171013   $586  </v>
      </c>
      <c r="H13" s="14" t="str">
        <f aca="false">SUBSTITUTE(G13,"_"," ")</f>
        <v>PR:Books    SP:Alice20171013   $586  </v>
      </c>
      <c r="I13" s="14" t="str">
        <f aca="false">TRIM(H13)</f>
        <v>PR:Books SP:Alice20171013 $586</v>
      </c>
      <c r="J13" s="21" t="n">
        <f aca="false">LEN(I13)</f>
        <v>30</v>
      </c>
      <c r="K13" s="21" t="n">
        <f aca="false">CODE(RIGHT(I13,1))</f>
        <v>54</v>
      </c>
      <c r="L13" s="14" t="str">
        <f aca="false">SUBSTITUTE(I13,"PR:","")</f>
        <v>Books SP:Alice20171013 $586</v>
      </c>
      <c r="M13" s="14" t="str">
        <f aca="false">SUBSTITUTE(L13,"SP:","")</f>
        <v>Books Alice20171013 $586</v>
      </c>
      <c r="N13" s="15" t="str">
        <f aca="false">SUBSTITUTE(M13,"201710"," 201710")</f>
        <v>Books Alice 20171013 $586</v>
      </c>
      <c r="O13" s="21" t="n">
        <f aca="false">FIND(" ",N13)</f>
        <v>6</v>
      </c>
      <c r="P13" s="21" t="n">
        <f aca="false">FIND(" ",N13,O13+1)</f>
        <v>12</v>
      </c>
      <c r="Q13" s="21" t="n">
        <f aca="false">FIND(" ",N13,P13+1)</f>
        <v>21</v>
      </c>
      <c r="R13" s="26" t="str">
        <f aca="false">LEFT(N13,O13-1)</f>
        <v>Books</v>
      </c>
      <c r="S13" s="26" t="str">
        <f aca="false">MID(N13,O13+1,P13-O13-1)</f>
        <v>Alice</v>
      </c>
      <c r="T13" s="26" t="str">
        <f aca="false">MID(N13,P13+1,Q13-P13-1)</f>
        <v>20171013</v>
      </c>
      <c r="U13" s="26" t="n">
        <f aca="false">VALUE(MID(N13,Q13+2,90))</f>
        <v>586</v>
      </c>
      <c r="V13" s="27" t="n">
        <f aca="false">DATE(2017,10,MID(T13,7,2))</f>
        <v>43021</v>
      </c>
    </row>
    <row r="14" customFormat="false" ht="14.25" hidden="false" customHeight="false" outlineLevel="0" collapsed="false">
      <c r="A14" s="23" t="n">
        <f aca="false">A13+1</f>
        <v>10</v>
      </c>
      <c r="B14" s="14" t="s">
        <v>28</v>
      </c>
      <c r="C14" s="21" t="n">
        <f aca="false">CODE(RIGHT(B14,1))</f>
        <v>29</v>
      </c>
      <c r="D14" s="14" t="str">
        <f aca="false">CLEAN(B14)</f>
        <v>////PR:Music__SP:David20171015     $1202 </v>
      </c>
      <c r="E14" s="21" t="n">
        <f aca="false">CODE(RIGHT(D14,1))</f>
        <v>32</v>
      </c>
      <c r="F14" s="14" t="str">
        <f aca="false">SUBSTITUTE(D14,_xlfn.UNICHAR(160)," ")</f>
        <v>////PR:Music__SP:David20171015     $1202 </v>
      </c>
      <c r="G14" s="14" t="str">
        <f aca="false">SUBSTITUTE(F14,"/","")</f>
        <v>PR:Music__SP:David20171015     $1202 </v>
      </c>
      <c r="H14" s="14" t="str">
        <f aca="false">SUBSTITUTE(G14,"_"," ")</f>
        <v>PR:Music  SP:David20171015     $1202 </v>
      </c>
      <c r="I14" s="14" t="str">
        <f aca="false">TRIM(H14)</f>
        <v>PR:Music SP:David20171015 $1202</v>
      </c>
      <c r="J14" s="21" t="n">
        <f aca="false">LEN(I14)</f>
        <v>31</v>
      </c>
      <c r="K14" s="21" t="n">
        <f aca="false">CODE(RIGHT(I14,1))</f>
        <v>50</v>
      </c>
      <c r="L14" s="14" t="str">
        <f aca="false">SUBSTITUTE(I14,"PR:","")</f>
        <v>Music SP:David20171015 $1202</v>
      </c>
      <c r="M14" s="14" t="str">
        <f aca="false">SUBSTITUTE(L14,"SP:","")</f>
        <v>Music David20171015 $1202</v>
      </c>
      <c r="N14" s="15" t="str">
        <f aca="false">SUBSTITUTE(M14,"201710"," 201710")</f>
        <v>Music David 20171015 $1202</v>
      </c>
      <c r="O14" s="21" t="n">
        <f aca="false">FIND(" ",N14)</f>
        <v>6</v>
      </c>
      <c r="P14" s="21" t="n">
        <f aca="false">FIND(" ",N14,O14+1)</f>
        <v>12</v>
      </c>
      <c r="Q14" s="21" t="n">
        <f aca="false">FIND(" ",N14,P14+1)</f>
        <v>21</v>
      </c>
      <c r="R14" s="26" t="str">
        <f aca="false">LEFT(N14,O14-1)</f>
        <v>Music</v>
      </c>
      <c r="S14" s="26" t="str">
        <f aca="false">MID(N14,O14+1,P14-O14-1)</f>
        <v>David</v>
      </c>
      <c r="T14" s="26" t="str">
        <f aca="false">MID(N14,P14+1,Q14-P14-1)</f>
        <v>20171015</v>
      </c>
      <c r="U14" s="26" t="n">
        <f aca="false">VALUE(MID(N14,Q14+2,90))</f>
        <v>1202</v>
      </c>
      <c r="V14" s="27" t="n">
        <f aca="false">DATE(2017,10,MID(T14,7,2))</f>
        <v>43023</v>
      </c>
    </row>
    <row r="15" customFormat="false" ht="14.25" hidden="false" customHeight="false" outlineLevel="0" collapsed="false">
      <c r="A15" s="23" t="n">
        <f aca="false">A14+1</f>
        <v>11</v>
      </c>
      <c r="B15" s="14" t="s">
        <v>29</v>
      </c>
      <c r="C15" s="21" t="n">
        <f aca="false">CODE(RIGHT(B15,1))</f>
        <v>30</v>
      </c>
      <c r="D15" s="14" t="str">
        <f aca="false">CLEAN(B15)</f>
        <v>/////PR:Games___SP:David20171022 $0   </v>
      </c>
      <c r="E15" s="21" t="n">
        <f aca="false">CODE(RIGHT(D15,1))</f>
        <v>32</v>
      </c>
      <c r="F15" s="14" t="str">
        <f aca="false">SUBSTITUTE(D15,_xlfn.UNICHAR(160)," ")</f>
        <v>/////PR:Games___SP:David20171022 $0   </v>
      </c>
      <c r="G15" s="14" t="str">
        <f aca="false">SUBSTITUTE(F15,"/","")</f>
        <v>PR:Games___SP:David20171022 $0   </v>
      </c>
      <c r="H15" s="14" t="str">
        <f aca="false">SUBSTITUTE(G15,"_"," ")</f>
        <v>PR:Games   SP:David20171022 $0   </v>
      </c>
      <c r="I15" s="14" t="str">
        <f aca="false">TRIM(H15)</f>
        <v>PR:Games SP:David20171022 $0</v>
      </c>
      <c r="J15" s="21" t="n">
        <f aca="false">LEN(I15)</f>
        <v>28</v>
      </c>
      <c r="K15" s="21" t="n">
        <f aca="false">CODE(RIGHT(I15,1))</f>
        <v>48</v>
      </c>
      <c r="L15" s="14" t="str">
        <f aca="false">SUBSTITUTE(I15,"PR:","")</f>
        <v>Games SP:David20171022 $0</v>
      </c>
      <c r="M15" s="14" t="str">
        <f aca="false">SUBSTITUTE(L15,"SP:","")</f>
        <v>Games David20171022 $0</v>
      </c>
      <c r="N15" s="15" t="str">
        <f aca="false">SUBSTITUTE(M15,"201710"," 201710")</f>
        <v>Games David 20171022 $0</v>
      </c>
      <c r="O15" s="21" t="n">
        <f aca="false">FIND(" ",N15)</f>
        <v>6</v>
      </c>
      <c r="P15" s="21" t="n">
        <f aca="false">FIND(" ",N15,O15+1)</f>
        <v>12</v>
      </c>
      <c r="Q15" s="21" t="n">
        <f aca="false">FIND(" ",N15,P15+1)</f>
        <v>21</v>
      </c>
      <c r="R15" s="26" t="str">
        <f aca="false">LEFT(N15,O15-1)</f>
        <v>Games</v>
      </c>
      <c r="S15" s="26" t="str">
        <f aca="false">MID(N15,O15+1,P15-O15-1)</f>
        <v>David</v>
      </c>
      <c r="T15" s="26" t="str">
        <f aca="false">MID(N15,P15+1,Q15-P15-1)</f>
        <v>20171022</v>
      </c>
      <c r="U15" s="26" t="n">
        <f aca="false">VALUE(MID(N15,Q15+2,90))</f>
        <v>0</v>
      </c>
      <c r="V15" s="27" t="n">
        <f aca="false">DATE(2017,10,MID(T15,7,2))</f>
        <v>43030</v>
      </c>
    </row>
    <row r="16" customFormat="false" ht="14.25" hidden="false" customHeight="false" outlineLevel="0" collapsed="false">
      <c r="A16" s="23" t="n">
        <f aca="false">A15+1</f>
        <v>12</v>
      </c>
      <c r="B16" s="14" t="s">
        <v>30</v>
      </c>
      <c r="C16" s="21" t="n">
        <f aca="false">CODE(RIGHT(B16,1))</f>
        <v>30</v>
      </c>
      <c r="D16" s="14" t="str">
        <f aca="false">CLEAN(B16)</f>
        <v>/////PR:Books_____SP:Alice2017101     $597   </v>
      </c>
      <c r="E16" s="21" t="n">
        <f aca="false">CODE(RIGHT(D16,1))</f>
        <v>32</v>
      </c>
      <c r="F16" s="14" t="str">
        <f aca="false">SUBSTITUTE(D16,_xlfn.UNICHAR(160)," ")</f>
        <v>/////PR:Books_____SP:Alice2017101     $597   </v>
      </c>
      <c r="G16" s="14" t="str">
        <f aca="false">SUBSTITUTE(F16,"/","")</f>
        <v>PR:Books_____SP:Alice2017101     $597   </v>
      </c>
      <c r="H16" s="14" t="str">
        <f aca="false">SUBSTITUTE(G16,"_"," ")</f>
        <v>PR:Books     SP:Alice2017101     $597   </v>
      </c>
      <c r="I16" s="14" t="str">
        <f aca="false">TRIM(H16)</f>
        <v>PR:Books SP:Alice2017101 $597</v>
      </c>
      <c r="J16" s="21" t="n">
        <f aca="false">LEN(I16)</f>
        <v>29</v>
      </c>
      <c r="K16" s="21" t="n">
        <f aca="false">CODE(RIGHT(I16,1))</f>
        <v>55</v>
      </c>
      <c r="L16" s="14" t="str">
        <f aca="false">SUBSTITUTE(I16,"PR:","")</f>
        <v>Books SP:Alice2017101 $597</v>
      </c>
      <c r="M16" s="14" t="str">
        <f aca="false">SUBSTITUTE(L16,"SP:","")</f>
        <v>Books Alice2017101 $597</v>
      </c>
      <c r="N16" s="15" t="str">
        <f aca="false">SUBSTITUTE(M16,"201710"," 201710")</f>
        <v>Books Alice 2017101 $597</v>
      </c>
      <c r="O16" s="21" t="n">
        <f aca="false">FIND(" ",N16)</f>
        <v>6</v>
      </c>
      <c r="P16" s="21" t="n">
        <f aca="false">FIND(" ",N16,O16+1)</f>
        <v>12</v>
      </c>
      <c r="Q16" s="21" t="n">
        <f aca="false">FIND(" ",N16,P16+1)</f>
        <v>20</v>
      </c>
      <c r="R16" s="26" t="str">
        <f aca="false">LEFT(N16,O16-1)</f>
        <v>Books</v>
      </c>
      <c r="S16" s="26" t="str">
        <f aca="false">MID(N16,O16+1,P16-O16-1)</f>
        <v>Alice</v>
      </c>
      <c r="T16" s="26" t="str">
        <f aca="false">MID(N16,P16+1,Q16-P16-1)</f>
        <v>2017101</v>
      </c>
      <c r="U16" s="26" t="n">
        <f aca="false">VALUE(MID(N16,Q16+2,90))</f>
        <v>597</v>
      </c>
      <c r="V16" s="27" t="n">
        <f aca="false">DATE(2017,10,MID(T16,7,2))</f>
        <v>43009</v>
      </c>
    </row>
    <row r="17" customFormat="false" ht="14.25" hidden="false" customHeight="false" outlineLevel="0" collapsed="false">
      <c r="A17" s="23" t="n">
        <f aca="false">A16+1</f>
        <v>13</v>
      </c>
      <c r="B17" s="14" t="s">
        <v>31</v>
      </c>
      <c r="C17" s="21" t="n">
        <f aca="false">CODE(RIGHT(B17,1))</f>
        <v>29</v>
      </c>
      <c r="D17" s="14" t="str">
        <f aca="false">CLEAN(B17)</f>
        <v>/////PR:Music__SP:Alice20171031   $1142 </v>
      </c>
      <c r="E17" s="21" t="n">
        <f aca="false">CODE(RIGHT(D17,1))</f>
        <v>32</v>
      </c>
      <c r="F17" s="14" t="str">
        <f aca="false">SUBSTITUTE(D17,_xlfn.UNICHAR(160)," ")</f>
        <v>/////PR:Music__SP:Alice20171031   $1142 </v>
      </c>
      <c r="G17" s="14" t="str">
        <f aca="false">SUBSTITUTE(F17,"/","")</f>
        <v>PR:Music__SP:Alice20171031   $1142 </v>
      </c>
      <c r="H17" s="14" t="str">
        <f aca="false">SUBSTITUTE(G17,"_"," ")</f>
        <v>PR:Music  SP:Alice20171031   $1142 </v>
      </c>
      <c r="I17" s="14" t="str">
        <f aca="false">TRIM(H17)</f>
        <v>PR:Music SP:Alice20171031 $1142</v>
      </c>
      <c r="J17" s="21" t="n">
        <f aca="false">LEN(I17)</f>
        <v>31</v>
      </c>
      <c r="K17" s="21" t="n">
        <f aca="false">CODE(RIGHT(I17,1))</f>
        <v>50</v>
      </c>
      <c r="L17" s="14" t="str">
        <f aca="false">SUBSTITUTE(I17,"PR:","")</f>
        <v>Music SP:Alice20171031 $1142</v>
      </c>
      <c r="M17" s="14" t="str">
        <f aca="false">SUBSTITUTE(L17,"SP:","")</f>
        <v>Music Alice20171031 $1142</v>
      </c>
      <c r="N17" s="15" t="str">
        <f aca="false">SUBSTITUTE(M17,"201710"," 201710")</f>
        <v>Music Alice 20171031 $1142</v>
      </c>
      <c r="O17" s="21" t="n">
        <f aca="false">FIND(" ",N17)</f>
        <v>6</v>
      </c>
      <c r="P17" s="21" t="n">
        <f aca="false">FIND(" ",N17,O17+1)</f>
        <v>12</v>
      </c>
      <c r="Q17" s="21" t="n">
        <f aca="false">FIND(" ",N17,P17+1)</f>
        <v>21</v>
      </c>
      <c r="R17" s="26" t="str">
        <f aca="false">LEFT(N17,O17-1)</f>
        <v>Music</v>
      </c>
      <c r="S17" s="26" t="str">
        <f aca="false">MID(N17,O17+1,P17-O17-1)</f>
        <v>Alice</v>
      </c>
      <c r="T17" s="26" t="str">
        <f aca="false">MID(N17,P17+1,Q17-P17-1)</f>
        <v>20171031</v>
      </c>
      <c r="U17" s="26" t="n">
        <f aca="false">VALUE(MID(N17,Q17+2,90))</f>
        <v>1142</v>
      </c>
      <c r="V17" s="27" t="n">
        <f aca="false">DATE(2017,10,MID(T17,7,2))</f>
        <v>43039</v>
      </c>
    </row>
    <row r="18" customFormat="false" ht="14.25" hidden="false" customHeight="false" outlineLevel="0" collapsed="false">
      <c r="A18" s="23" t="n">
        <f aca="false">A17+1</f>
        <v>14</v>
      </c>
      <c r="B18" s="14" t="s">
        <v>32</v>
      </c>
      <c r="C18" s="21" t="n">
        <f aca="false">CODE(RIGHT(B18,1))</f>
        <v>30</v>
      </c>
      <c r="D18" s="14" t="str">
        <f aca="false">CLEAN(B18)</f>
        <v>/PR:Clothing_SP:Carol20171025   $1213  </v>
      </c>
      <c r="E18" s="21" t="n">
        <f aca="false">CODE(RIGHT(D18,1))</f>
        <v>32</v>
      </c>
      <c r="F18" s="14" t="str">
        <f aca="false">SUBSTITUTE(D18,_xlfn.UNICHAR(160)," ")</f>
        <v>/PR:Clothing_SP:Carol20171025   $1213  </v>
      </c>
      <c r="G18" s="14" t="str">
        <f aca="false">SUBSTITUTE(F18,"/","")</f>
        <v>PR:Clothing_SP:Carol20171025   $1213  </v>
      </c>
      <c r="H18" s="14" t="str">
        <f aca="false">SUBSTITUTE(G18,"_"," ")</f>
        <v>PR:Clothing SP:Carol20171025   $1213  </v>
      </c>
      <c r="I18" s="14" t="str">
        <f aca="false">TRIM(H18)</f>
        <v>PR:Clothing SP:Carol20171025 $1213</v>
      </c>
      <c r="J18" s="21" t="n">
        <f aca="false">LEN(I18)</f>
        <v>34</v>
      </c>
      <c r="K18" s="21" t="n">
        <f aca="false">CODE(RIGHT(I18,1))</f>
        <v>51</v>
      </c>
      <c r="L18" s="14" t="str">
        <f aca="false">SUBSTITUTE(I18,"PR:","")</f>
        <v>Clothing SP:Carol20171025 $1213</v>
      </c>
      <c r="M18" s="14" t="str">
        <f aca="false">SUBSTITUTE(L18,"SP:","")</f>
        <v>Clothing Carol20171025 $1213</v>
      </c>
      <c r="N18" s="15" t="str">
        <f aca="false">SUBSTITUTE(M18,"201710"," 201710")</f>
        <v>Clothing Carol 20171025 $1213</v>
      </c>
      <c r="O18" s="21" t="n">
        <f aca="false">FIND(" ",N18)</f>
        <v>9</v>
      </c>
      <c r="P18" s="21" t="n">
        <f aca="false">FIND(" ",N18,O18+1)</f>
        <v>15</v>
      </c>
      <c r="Q18" s="21" t="n">
        <f aca="false">FIND(" ",N18,P18+1)</f>
        <v>24</v>
      </c>
      <c r="R18" s="26" t="str">
        <f aca="false">LEFT(N18,O18-1)</f>
        <v>Clothing</v>
      </c>
      <c r="S18" s="26" t="str">
        <f aca="false">MID(N18,O18+1,P18-O18-1)</f>
        <v>Carol</v>
      </c>
      <c r="T18" s="26" t="str">
        <f aca="false">MID(N18,P18+1,Q18-P18-1)</f>
        <v>20171025</v>
      </c>
      <c r="U18" s="26" t="n">
        <f aca="false">VALUE(MID(N18,Q18+2,90))</f>
        <v>1213</v>
      </c>
      <c r="V18" s="27" t="n">
        <f aca="false">DATE(2017,10,MID(T18,7,2))</f>
        <v>43033</v>
      </c>
    </row>
    <row r="19" customFormat="false" ht="14.25" hidden="false" customHeight="false" outlineLevel="0" collapsed="false">
      <c r="A19" s="23" t="n">
        <f aca="false">A18+1</f>
        <v>15</v>
      </c>
      <c r="B19" s="14" t="s">
        <v>33</v>
      </c>
      <c r="C19" s="21" t="n">
        <f aca="false">CODE(RIGHT(B19,1))</f>
        <v>28</v>
      </c>
      <c r="D19" s="14" t="str">
        <f aca="false">CLEAN(B19)</f>
        <v>/////PR:Games_____SP:Alice20171021 $0     </v>
      </c>
      <c r="E19" s="21" t="n">
        <f aca="false">CODE(RIGHT(D19,1))</f>
        <v>32</v>
      </c>
      <c r="F19" s="14" t="str">
        <f aca="false">SUBSTITUTE(D19,_xlfn.UNICHAR(160)," ")</f>
        <v>/////PR:Games_____SP:Alice20171021 $0     </v>
      </c>
      <c r="G19" s="14" t="str">
        <f aca="false">SUBSTITUTE(F19,"/","")</f>
        <v>PR:Games_____SP:Alice20171021 $0     </v>
      </c>
      <c r="H19" s="14" t="str">
        <f aca="false">SUBSTITUTE(G19,"_"," ")</f>
        <v>PR:Games     SP:Alice20171021 $0     </v>
      </c>
      <c r="I19" s="14" t="str">
        <f aca="false">TRIM(H19)</f>
        <v>PR:Games SP:Alice20171021 $0</v>
      </c>
      <c r="J19" s="21" t="n">
        <f aca="false">LEN(I19)</f>
        <v>28</v>
      </c>
      <c r="K19" s="21" t="n">
        <f aca="false">CODE(RIGHT(I19,1))</f>
        <v>48</v>
      </c>
      <c r="L19" s="14" t="str">
        <f aca="false">SUBSTITUTE(I19,"PR:","")</f>
        <v>Games SP:Alice20171021 $0</v>
      </c>
      <c r="M19" s="14" t="str">
        <f aca="false">SUBSTITUTE(L19,"SP:","")</f>
        <v>Games Alice20171021 $0</v>
      </c>
      <c r="N19" s="15" t="str">
        <f aca="false">SUBSTITUTE(M19,"201710"," 201710")</f>
        <v>Games Alice 20171021 $0</v>
      </c>
      <c r="O19" s="21" t="n">
        <f aca="false">FIND(" ",N19)</f>
        <v>6</v>
      </c>
      <c r="P19" s="21" t="n">
        <f aca="false">FIND(" ",N19,O19+1)</f>
        <v>12</v>
      </c>
      <c r="Q19" s="21" t="n">
        <f aca="false">FIND(" ",N19,P19+1)</f>
        <v>21</v>
      </c>
      <c r="R19" s="26" t="str">
        <f aca="false">LEFT(N19,O19-1)</f>
        <v>Games</v>
      </c>
      <c r="S19" s="26" t="str">
        <f aca="false">MID(N19,O19+1,P19-O19-1)</f>
        <v>Alice</v>
      </c>
      <c r="T19" s="26" t="str">
        <f aca="false">MID(N19,P19+1,Q19-P19-1)</f>
        <v>20171021</v>
      </c>
      <c r="U19" s="26" t="n">
        <f aca="false">VALUE(MID(N19,Q19+2,90))</f>
        <v>0</v>
      </c>
      <c r="V19" s="27" t="n">
        <f aca="false">DATE(2017,10,MID(T19,7,2))</f>
        <v>43029</v>
      </c>
    </row>
    <row r="20" customFormat="false" ht="14.25" hidden="false" customHeight="false" outlineLevel="0" collapsed="false">
      <c r="A20" s="23" t="n">
        <f aca="false">A19+1</f>
        <v>16</v>
      </c>
      <c r="B20" s="14" t="s">
        <v>34</v>
      </c>
      <c r="C20" s="21" t="n">
        <f aca="false">CODE(RIGHT(B20,1))</f>
        <v>31</v>
      </c>
      <c r="D20" s="14" t="str">
        <f aca="false">CLEAN(B20)</f>
        <v>///PR:Clothing_SP:David20171013   $0    </v>
      </c>
      <c r="E20" s="21" t="n">
        <f aca="false">CODE(RIGHT(D20,1))</f>
        <v>32</v>
      </c>
      <c r="F20" s="14" t="str">
        <f aca="false">SUBSTITUTE(D20,_xlfn.UNICHAR(160)," ")</f>
        <v>///PR:Clothing_SP:David20171013   $0    </v>
      </c>
      <c r="G20" s="14" t="str">
        <f aca="false">SUBSTITUTE(F20,"/","")</f>
        <v>PR:Clothing_SP:David20171013   $0    </v>
      </c>
      <c r="H20" s="14" t="str">
        <f aca="false">SUBSTITUTE(G20,"_"," ")</f>
        <v>PR:Clothing SP:David20171013   $0    </v>
      </c>
      <c r="I20" s="14" t="str">
        <f aca="false">TRIM(H20)</f>
        <v>PR:Clothing SP:David20171013 $0</v>
      </c>
      <c r="J20" s="21" t="n">
        <f aca="false">LEN(I20)</f>
        <v>31</v>
      </c>
      <c r="K20" s="21" t="n">
        <f aca="false">CODE(RIGHT(I20,1))</f>
        <v>48</v>
      </c>
      <c r="L20" s="14" t="str">
        <f aca="false">SUBSTITUTE(I20,"PR:","")</f>
        <v>Clothing SP:David20171013 $0</v>
      </c>
      <c r="M20" s="14" t="str">
        <f aca="false">SUBSTITUTE(L20,"SP:","")</f>
        <v>Clothing David20171013 $0</v>
      </c>
      <c r="N20" s="15" t="str">
        <f aca="false">SUBSTITUTE(M20,"201710"," 201710")</f>
        <v>Clothing David 20171013 $0</v>
      </c>
      <c r="O20" s="21" t="n">
        <f aca="false">FIND(" ",N20)</f>
        <v>9</v>
      </c>
      <c r="P20" s="21" t="n">
        <f aca="false">FIND(" ",N20,O20+1)</f>
        <v>15</v>
      </c>
      <c r="Q20" s="21" t="n">
        <f aca="false">FIND(" ",N20,P20+1)</f>
        <v>24</v>
      </c>
      <c r="R20" s="26" t="str">
        <f aca="false">LEFT(N20,O20-1)</f>
        <v>Clothing</v>
      </c>
      <c r="S20" s="26" t="str">
        <f aca="false">MID(N20,O20+1,P20-O20-1)</f>
        <v>David</v>
      </c>
      <c r="T20" s="26" t="str">
        <f aca="false">MID(N20,P20+1,Q20-P20-1)</f>
        <v>20171013</v>
      </c>
      <c r="U20" s="26" t="n">
        <f aca="false">VALUE(MID(N20,Q20+2,90))</f>
        <v>0</v>
      </c>
      <c r="V20" s="27" t="n">
        <f aca="false">DATE(2017,10,MID(T20,7,2))</f>
        <v>43021</v>
      </c>
    </row>
    <row r="21" customFormat="false" ht="14.25" hidden="false" customHeight="false" outlineLevel="0" collapsed="false">
      <c r="A21" s="23" t="n">
        <f aca="false">A20+1</f>
        <v>17</v>
      </c>
      <c r="B21" s="14" t="s">
        <v>35</v>
      </c>
      <c r="C21" s="21" t="n">
        <f aca="false">CODE(RIGHT(B21,1))</f>
        <v>28</v>
      </c>
      <c r="D21" s="14" t="str">
        <f aca="false">CLEAN(B21)</f>
        <v>/////PR:Books_SP:Carol2017103  $721    </v>
      </c>
      <c r="E21" s="21" t="n">
        <f aca="false">CODE(RIGHT(D21,1))</f>
        <v>32</v>
      </c>
      <c r="F21" s="14" t="str">
        <f aca="false">SUBSTITUTE(D21,_xlfn.UNICHAR(160)," ")</f>
        <v>/////PR:Books_SP:Carol2017103  $721    </v>
      </c>
      <c r="G21" s="14" t="str">
        <f aca="false">SUBSTITUTE(F21,"/","")</f>
        <v>PR:Books_SP:Carol2017103  $721    </v>
      </c>
      <c r="H21" s="14" t="str">
        <f aca="false">SUBSTITUTE(G21,"_"," ")</f>
        <v>PR:Books SP:Carol2017103  $721    </v>
      </c>
      <c r="I21" s="14" t="str">
        <f aca="false">TRIM(H21)</f>
        <v>PR:Books SP:Carol2017103 $721</v>
      </c>
      <c r="J21" s="21" t="n">
        <f aca="false">LEN(I21)</f>
        <v>29</v>
      </c>
      <c r="K21" s="21" t="n">
        <f aca="false">CODE(RIGHT(I21,1))</f>
        <v>49</v>
      </c>
      <c r="L21" s="14" t="str">
        <f aca="false">SUBSTITUTE(I21,"PR:","")</f>
        <v>Books SP:Carol2017103 $721</v>
      </c>
      <c r="M21" s="14" t="str">
        <f aca="false">SUBSTITUTE(L21,"SP:","")</f>
        <v>Books Carol2017103 $721</v>
      </c>
      <c r="N21" s="15" t="str">
        <f aca="false">SUBSTITUTE(M21,"201710"," 201710")</f>
        <v>Books Carol 2017103 $721</v>
      </c>
      <c r="O21" s="21" t="n">
        <f aca="false">FIND(" ",N21)</f>
        <v>6</v>
      </c>
      <c r="P21" s="21" t="n">
        <f aca="false">FIND(" ",N21,O21+1)</f>
        <v>12</v>
      </c>
      <c r="Q21" s="21" t="n">
        <f aca="false">FIND(" ",N21,P21+1)</f>
        <v>20</v>
      </c>
      <c r="R21" s="26" t="str">
        <f aca="false">LEFT(N21,O21-1)</f>
        <v>Books</v>
      </c>
      <c r="S21" s="26" t="str">
        <f aca="false">MID(N21,O21+1,P21-O21-1)</f>
        <v>Carol</v>
      </c>
      <c r="T21" s="26" t="str">
        <f aca="false">MID(N21,P21+1,Q21-P21-1)</f>
        <v>2017103</v>
      </c>
      <c r="U21" s="26" t="n">
        <f aca="false">VALUE(MID(N21,Q21+2,90))</f>
        <v>721</v>
      </c>
      <c r="V21" s="27" t="n">
        <f aca="false">DATE(2017,10,MID(T21,7,2))</f>
        <v>43011</v>
      </c>
    </row>
    <row r="22" customFormat="false" ht="14.25" hidden="false" customHeight="false" outlineLevel="0" collapsed="false">
      <c r="A22" s="23" t="n">
        <f aca="false">A21+1</f>
        <v>18</v>
      </c>
      <c r="B22" s="14" t="s">
        <v>36</v>
      </c>
      <c r="C22" s="21" t="n">
        <f aca="false">CODE(RIGHT(B22,1))</f>
        <v>30</v>
      </c>
      <c r="D22" s="14" t="str">
        <f aca="false">CLEAN(B22)</f>
        <v>////PR:Clothing__SP:Carol20171026   $0 </v>
      </c>
      <c r="E22" s="21" t="n">
        <f aca="false">CODE(RIGHT(D22,1))</f>
        <v>32</v>
      </c>
      <c r="F22" s="14" t="str">
        <f aca="false">SUBSTITUTE(D22,_xlfn.UNICHAR(160)," ")</f>
        <v>////PR:Clothing__SP:Carol20171026   $0 </v>
      </c>
      <c r="G22" s="14" t="str">
        <f aca="false">SUBSTITUTE(F22,"/","")</f>
        <v>PR:Clothing__SP:Carol20171026   $0 </v>
      </c>
      <c r="H22" s="14" t="str">
        <f aca="false">SUBSTITUTE(G22,"_"," ")</f>
        <v>PR:Clothing  SP:Carol20171026   $0 </v>
      </c>
      <c r="I22" s="14" t="str">
        <f aca="false">TRIM(H22)</f>
        <v>PR:Clothing SP:Carol20171026 $0</v>
      </c>
      <c r="J22" s="21" t="n">
        <f aca="false">LEN(I22)</f>
        <v>31</v>
      </c>
      <c r="K22" s="21" t="n">
        <f aca="false">CODE(RIGHT(I22,1))</f>
        <v>48</v>
      </c>
      <c r="L22" s="14" t="str">
        <f aca="false">SUBSTITUTE(I22,"PR:","")</f>
        <v>Clothing SP:Carol20171026 $0</v>
      </c>
      <c r="M22" s="14" t="str">
        <f aca="false">SUBSTITUTE(L22,"SP:","")</f>
        <v>Clothing Carol20171026 $0</v>
      </c>
      <c r="N22" s="15" t="str">
        <f aca="false">SUBSTITUTE(M22,"201710"," 201710")</f>
        <v>Clothing Carol 20171026 $0</v>
      </c>
      <c r="O22" s="21" t="n">
        <f aca="false">FIND(" ",N22)</f>
        <v>9</v>
      </c>
      <c r="P22" s="21" t="n">
        <f aca="false">FIND(" ",N22,O22+1)</f>
        <v>15</v>
      </c>
      <c r="Q22" s="21" t="n">
        <f aca="false">FIND(" ",N22,P22+1)</f>
        <v>24</v>
      </c>
      <c r="R22" s="26" t="str">
        <f aca="false">LEFT(N22,O22-1)</f>
        <v>Clothing</v>
      </c>
      <c r="S22" s="26" t="str">
        <f aca="false">MID(N22,O22+1,P22-O22-1)</f>
        <v>Carol</v>
      </c>
      <c r="T22" s="26" t="str">
        <f aca="false">MID(N22,P22+1,Q22-P22-1)</f>
        <v>20171026</v>
      </c>
      <c r="U22" s="26" t="n">
        <f aca="false">VALUE(MID(N22,Q22+2,90))</f>
        <v>0</v>
      </c>
      <c r="V22" s="27" t="n">
        <f aca="false">DATE(2017,10,MID(T22,7,2))</f>
        <v>43034</v>
      </c>
    </row>
    <row r="23" customFormat="false" ht="14.25" hidden="false" customHeight="false" outlineLevel="0" collapsed="false">
      <c r="A23" s="23" t="n">
        <f aca="false">A22+1</f>
        <v>19</v>
      </c>
      <c r="B23" s="14" t="s">
        <v>37</v>
      </c>
      <c r="C23" s="21" t="n">
        <f aca="false">CODE(RIGHT(B23,1))</f>
        <v>31</v>
      </c>
      <c r="D23" s="14" t="str">
        <f aca="false">CLEAN(B23)</f>
        <v>////PR:Clothing___SP:Barney20171016    $945 </v>
      </c>
      <c r="E23" s="21" t="n">
        <f aca="false">CODE(RIGHT(D23,1))</f>
        <v>32</v>
      </c>
      <c r="F23" s="14" t="str">
        <f aca="false">SUBSTITUTE(D23,_xlfn.UNICHAR(160)," ")</f>
        <v>////PR:Clothing___SP:Barney20171016    $945 </v>
      </c>
      <c r="G23" s="14" t="str">
        <f aca="false">SUBSTITUTE(F23,"/","")</f>
        <v>PR:Clothing___SP:Barney20171016    $945 </v>
      </c>
      <c r="H23" s="14" t="str">
        <f aca="false">SUBSTITUTE(G23,"_"," ")</f>
        <v>PR:Clothing   SP:Barney20171016    $945 </v>
      </c>
      <c r="I23" s="14" t="str">
        <f aca="false">TRIM(H23)</f>
        <v>PR:Clothing SP:Barney20171016 $945</v>
      </c>
      <c r="J23" s="21" t="n">
        <f aca="false">LEN(I23)</f>
        <v>34</v>
      </c>
      <c r="K23" s="21" t="n">
        <f aca="false">CODE(RIGHT(I23,1))</f>
        <v>53</v>
      </c>
      <c r="L23" s="14" t="str">
        <f aca="false">SUBSTITUTE(I23,"PR:","")</f>
        <v>Clothing SP:Barney20171016 $945</v>
      </c>
      <c r="M23" s="14" t="str">
        <f aca="false">SUBSTITUTE(L23,"SP:","")</f>
        <v>Clothing Barney20171016 $945</v>
      </c>
      <c r="N23" s="15" t="str">
        <f aca="false">SUBSTITUTE(M23,"201710"," 201710")</f>
        <v>Clothing Barney 20171016 $945</v>
      </c>
      <c r="O23" s="21" t="n">
        <f aca="false">FIND(" ",N23)</f>
        <v>9</v>
      </c>
      <c r="P23" s="21" t="n">
        <f aca="false">FIND(" ",N23,O23+1)</f>
        <v>16</v>
      </c>
      <c r="Q23" s="21" t="n">
        <f aca="false">FIND(" ",N23,P23+1)</f>
        <v>25</v>
      </c>
      <c r="R23" s="26" t="str">
        <f aca="false">LEFT(N23,O23-1)</f>
        <v>Clothing</v>
      </c>
      <c r="S23" s="26" t="str">
        <f aca="false">MID(N23,O23+1,P23-O23-1)</f>
        <v>Barney</v>
      </c>
      <c r="T23" s="26" t="str">
        <f aca="false">MID(N23,P23+1,Q23-P23-1)</f>
        <v>20171016</v>
      </c>
      <c r="U23" s="26" t="n">
        <f aca="false">VALUE(MID(N23,Q23+2,90))</f>
        <v>945</v>
      </c>
      <c r="V23" s="27" t="n">
        <f aca="false">DATE(2017,10,MID(T23,7,2))</f>
        <v>43024</v>
      </c>
    </row>
    <row r="24" customFormat="false" ht="14.25" hidden="false" customHeight="false" outlineLevel="0" collapsed="false">
      <c r="A24" s="23" t="n">
        <f aca="false">A23+1</f>
        <v>20</v>
      </c>
      <c r="B24" s="14" t="s">
        <v>38</v>
      </c>
      <c r="C24" s="21" t="n">
        <f aca="false">CODE(RIGHT(B24,1))</f>
        <v>28</v>
      </c>
      <c r="D24" s="14" t="str">
        <f aca="false">CLEAN(B24)</f>
        <v>//PR:Clothing__SP:Barney20171025 $801  </v>
      </c>
      <c r="E24" s="21" t="n">
        <f aca="false">CODE(RIGHT(D24,1))</f>
        <v>32</v>
      </c>
      <c r="F24" s="14" t="str">
        <f aca="false">SUBSTITUTE(D24,_xlfn.UNICHAR(160)," ")</f>
        <v>//PR:Clothing__SP:Barney20171025 $801  </v>
      </c>
      <c r="G24" s="14" t="str">
        <f aca="false">SUBSTITUTE(F24,"/","")</f>
        <v>PR:Clothing__SP:Barney20171025 $801  </v>
      </c>
      <c r="H24" s="14" t="str">
        <f aca="false">SUBSTITUTE(G24,"_"," ")</f>
        <v>PR:Clothing  SP:Barney20171025 $801  </v>
      </c>
      <c r="I24" s="14" t="str">
        <f aca="false">TRIM(H24)</f>
        <v>PR:Clothing SP:Barney20171025 $801</v>
      </c>
      <c r="J24" s="21" t="n">
        <f aca="false">LEN(I24)</f>
        <v>34</v>
      </c>
      <c r="K24" s="21" t="n">
        <f aca="false">CODE(RIGHT(I24,1))</f>
        <v>49</v>
      </c>
      <c r="L24" s="14" t="str">
        <f aca="false">SUBSTITUTE(I24,"PR:","")</f>
        <v>Clothing SP:Barney20171025 $801</v>
      </c>
      <c r="M24" s="14" t="str">
        <f aca="false">SUBSTITUTE(L24,"SP:","")</f>
        <v>Clothing Barney20171025 $801</v>
      </c>
      <c r="N24" s="15" t="str">
        <f aca="false">SUBSTITUTE(M24,"201710"," 201710")</f>
        <v>Clothing Barney 20171025 $801</v>
      </c>
      <c r="O24" s="21" t="n">
        <f aca="false">FIND(" ",N24)</f>
        <v>9</v>
      </c>
      <c r="P24" s="21" t="n">
        <f aca="false">FIND(" ",N24,O24+1)</f>
        <v>16</v>
      </c>
      <c r="Q24" s="21" t="n">
        <f aca="false">FIND(" ",N24,P24+1)</f>
        <v>25</v>
      </c>
      <c r="R24" s="26" t="str">
        <f aca="false">LEFT(N24,O24-1)</f>
        <v>Clothing</v>
      </c>
      <c r="S24" s="26" t="str">
        <f aca="false">MID(N24,O24+1,P24-O24-1)</f>
        <v>Barney</v>
      </c>
      <c r="T24" s="26" t="str">
        <f aca="false">MID(N24,P24+1,Q24-P24-1)</f>
        <v>20171025</v>
      </c>
      <c r="U24" s="26" t="n">
        <f aca="false">VALUE(MID(N24,Q24+2,90))</f>
        <v>801</v>
      </c>
      <c r="V24" s="27" t="n">
        <f aca="false">DATE(2017,10,MID(T24,7,2))</f>
        <v>43033</v>
      </c>
    </row>
    <row r="25" customFormat="false" ht="14.25" hidden="false" customHeight="false" outlineLevel="0" collapsed="false">
      <c r="A25" s="23" t="n">
        <f aca="false">A24+1</f>
        <v>21</v>
      </c>
      <c r="B25" s="14" t="s">
        <v>39</v>
      </c>
      <c r="C25" s="21" t="n">
        <f aca="false">CODE(RIGHT(B25,1))</f>
        <v>29</v>
      </c>
      <c r="D25" s="14" t="str">
        <f aca="false">CLEAN(B25)</f>
        <v>/////PR:Books_SP:David2017109     $866    </v>
      </c>
      <c r="E25" s="21" t="n">
        <f aca="false">CODE(RIGHT(D25,1))</f>
        <v>32</v>
      </c>
      <c r="F25" s="14" t="str">
        <f aca="false">SUBSTITUTE(D25,_xlfn.UNICHAR(160)," ")</f>
        <v>/////PR:Books_SP:David2017109     $866    </v>
      </c>
      <c r="G25" s="14" t="str">
        <f aca="false">SUBSTITUTE(F25,"/","")</f>
        <v>PR:Books_SP:David2017109     $866    </v>
      </c>
      <c r="H25" s="14" t="str">
        <f aca="false">SUBSTITUTE(G25,"_"," ")</f>
        <v>PR:Books SP:David2017109     $866    </v>
      </c>
      <c r="I25" s="14" t="str">
        <f aca="false">TRIM(H25)</f>
        <v>PR:Books SP:David2017109 $866</v>
      </c>
      <c r="J25" s="21" t="n">
        <f aca="false">LEN(I25)</f>
        <v>29</v>
      </c>
      <c r="K25" s="21" t="n">
        <f aca="false">CODE(RIGHT(I25,1))</f>
        <v>54</v>
      </c>
      <c r="L25" s="14" t="str">
        <f aca="false">SUBSTITUTE(I25,"PR:","")</f>
        <v>Books SP:David2017109 $866</v>
      </c>
      <c r="M25" s="14" t="str">
        <f aca="false">SUBSTITUTE(L25,"SP:","")</f>
        <v>Books David2017109 $866</v>
      </c>
      <c r="N25" s="15" t="str">
        <f aca="false">SUBSTITUTE(M25,"201710"," 201710")</f>
        <v>Books David 2017109 $866</v>
      </c>
      <c r="O25" s="21" t="n">
        <f aca="false">FIND(" ",N25)</f>
        <v>6</v>
      </c>
      <c r="P25" s="21" t="n">
        <f aca="false">FIND(" ",N25,O25+1)</f>
        <v>12</v>
      </c>
      <c r="Q25" s="21" t="n">
        <f aca="false">FIND(" ",N25,P25+1)</f>
        <v>20</v>
      </c>
      <c r="R25" s="26" t="str">
        <f aca="false">LEFT(N25,O25-1)</f>
        <v>Books</v>
      </c>
      <c r="S25" s="26" t="str">
        <f aca="false">MID(N25,O25+1,P25-O25-1)</f>
        <v>David</v>
      </c>
      <c r="T25" s="26" t="str">
        <f aca="false">MID(N25,P25+1,Q25-P25-1)</f>
        <v>2017109</v>
      </c>
      <c r="U25" s="26" t="n">
        <f aca="false">VALUE(MID(N25,Q25+2,90))</f>
        <v>866</v>
      </c>
      <c r="V25" s="27" t="n">
        <f aca="false">DATE(2017,10,MID(T25,7,2))</f>
        <v>43017</v>
      </c>
    </row>
    <row r="26" customFormat="false" ht="14.25" hidden="false" customHeight="false" outlineLevel="0" collapsed="false">
      <c r="A26" s="23" t="n">
        <f aca="false">A25+1</f>
        <v>22</v>
      </c>
      <c r="B26" s="14" t="s">
        <v>40</v>
      </c>
      <c r="C26" s="21" t="n">
        <f aca="false">CODE(RIGHT(B26,1))</f>
        <v>29</v>
      </c>
      <c r="D26" s="14" t="str">
        <f aca="false">CLEAN(B26)</f>
        <v>/////PR:Books__SP:David20171017  $0  </v>
      </c>
      <c r="E26" s="21" t="n">
        <f aca="false">CODE(RIGHT(D26,1))</f>
        <v>32</v>
      </c>
      <c r="F26" s="14" t="str">
        <f aca="false">SUBSTITUTE(D26,_xlfn.UNICHAR(160)," ")</f>
        <v>/////PR:Books__SP:David20171017  $0  </v>
      </c>
      <c r="G26" s="14" t="str">
        <f aca="false">SUBSTITUTE(F26,"/","")</f>
        <v>PR:Books__SP:David20171017  $0  </v>
      </c>
      <c r="H26" s="14" t="str">
        <f aca="false">SUBSTITUTE(G26,"_"," ")</f>
        <v>PR:Books  SP:David20171017  $0  </v>
      </c>
      <c r="I26" s="14" t="str">
        <f aca="false">TRIM(H26)</f>
        <v>PR:Books SP:David20171017 $0</v>
      </c>
      <c r="J26" s="21" t="n">
        <f aca="false">LEN(I26)</f>
        <v>28</v>
      </c>
      <c r="K26" s="21" t="n">
        <f aca="false">CODE(RIGHT(I26,1))</f>
        <v>48</v>
      </c>
      <c r="L26" s="14" t="str">
        <f aca="false">SUBSTITUTE(I26,"PR:","")</f>
        <v>Books SP:David20171017 $0</v>
      </c>
      <c r="M26" s="14" t="str">
        <f aca="false">SUBSTITUTE(L26,"SP:","")</f>
        <v>Books David20171017 $0</v>
      </c>
      <c r="N26" s="15" t="str">
        <f aca="false">SUBSTITUTE(M26,"201710"," 201710")</f>
        <v>Books David 20171017 $0</v>
      </c>
      <c r="O26" s="21" t="n">
        <f aca="false">FIND(" ",N26)</f>
        <v>6</v>
      </c>
      <c r="P26" s="21" t="n">
        <f aca="false">FIND(" ",N26,O26+1)</f>
        <v>12</v>
      </c>
      <c r="Q26" s="21" t="n">
        <f aca="false">FIND(" ",N26,P26+1)</f>
        <v>21</v>
      </c>
      <c r="R26" s="26" t="str">
        <f aca="false">LEFT(N26,O26-1)</f>
        <v>Books</v>
      </c>
      <c r="S26" s="26" t="str">
        <f aca="false">MID(N26,O26+1,P26-O26-1)</f>
        <v>David</v>
      </c>
      <c r="T26" s="26" t="str">
        <f aca="false">MID(N26,P26+1,Q26-P26-1)</f>
        <v>20171017</v>
      </c>
      <c r="U26" s="26" t="n">
        <f aca="false">VALUE(MID(N26,Q26+2,90))</f>
        <v>0</v>
      </c>
      <c r="V26" s="27" t="n">
        <f aca="false">DATE(2017,10,MID(T26,7,2))</f>
        <v>43025</v>
      </c>
    </row>
    <row r="27" customFormat="false" ht="14.25" hidden="false" customHeight="false" outlineLevel="0" collapsed="false">
      <c r="A27" s="23" t="n">
        <f aca="false">A26+1</f>
        <v>23</v>
      </c>
      <c r="B27" s="14" t="s">
        <v>41</v>
      </c>
      <c r="C27" s="21" t="n">
        <f aca="false">CODE(RIGHT(B27,1))</f>
        <v>31</v>
      </c>
      <c r="D27" s="14" t="str">
        <f aca="false">CLEAN(B27)</f>
        <v>/PR:Clothing___SP:David2017104  $1574    </v>
      </c>
      <c r="E27" s="21" t="n">
        <f aca="false">CODE(RIGHT(D27,1))</f>
        <v>32</v>
      </c>
      <c r="F27" s="14" t="str">
        <f aca="false">SUBSTITUTE(D27,_xlfn.UNICHAR(160)," ")</f>
        <v>/PR:Clothing___SP:David2017104  $1574    </v>
      </c>
      <c r="G27" s="14" t="str">
        <f aca="false">SUBSTITUTE(F27,"/","")</f>
        <v>PR:Clothing___SP:David2017104  $1574    </v>
      </c>
      <c r="H27" s="14" t="str">
        <f aca="false">SUBSTITUTE(G27,"_"," ")</f>
        <v>PR:Clothing   SP:David2017104  $1574    </v>
      </c>
      <c r="I27" s="14" t="str">
        <f aca="false">TRIM(H27)</f>
        <v>PR:Clothing SP:David2017104 $1574</v>
      </c>
      <c r="J27" s="21" t="n">
        <f aca="false">LEN(I27)</f>
        <v>33</v>
      </c>
      <c r="K27" s="21" t="n">
        <f aca="false">CODE(RIGHT(I27,1))</f>
        <v>52</v>
      </c>
      <c r="L27" s="14" t="str">
        <f aca="false">SUBSTITUTE(I27,"PR:","")</f>
        <v>Clothing SP:David2017104 $1574</v>
      </c>
      <c r="M27" s="14" t="str">
        <f aca="false">SUBSTITUTE(L27,"SP:","")</f>
        <v>Clothing David2017104 $1574</v>
      </c>
      <c r="N27" s="15" t="str">
        <f aca="false">SUBSTITUTE(M27,"201710"," 201710")</f>
        <v>Clothing David 2017104 $1574</v>
      </c>
      <c r="O27" s="21" t="n">
        <f aca="false">FIND(" ",N27)</f>
        <v>9</v>
      </c>
      <c r="P27" s="21" t="n">
        <f aca="false">FIND(" ",N27,O27+1)</f>
        <v>15</v>
      </c>
      <c r="Q27" s="21" t="n">
        <f aca="false">FIND(" ",N27,P27+1)</f>
        <v>23</v>
      </c>
      <c r="R27" s="26" t="str">
        <f aca="false">LEFT(N27,O27-1)</f>
        <v>Clothing</v>
      </c>
      <c r="S27" s="26" t="str">
        <f aca="false">MID(N27,O27+1,P27-O27-1)</f>
        <v>David</v>
      </c>
      <c r="T27" s="26" t="str">
        <f aca="false">MID(N27,P27+1,Q27-P27-1)</f>
        <v>2017104</v>
      </c>
      <c r="U27" s="26" t="n">
        <f aca="false">VALUE(MID(N27,Q27+2,90))</f>
        <v>1574</v>
      </c>
      <c r="V27" s="27" t="n">
        <f aca="false">DATE(2017,10,MID(T27,7,2))</f>
        <v>43012</v>
      </c>
    </row>
    <row r="28" customFormat="false" ht="14.25" hidden="false" customHeight="false" outlineLevel="0" collapsed="false">
      <c r="A28" s="23" t="n">
        <f aca="false">A27+1</f>
        <v>24</v>
      </c>
      <c r="B28" s="14" t="s">
        <v>42</v>
      </c>
      <c r="C28" s="21" t="n">
        <f aca="false">CODE(RIGHT(B28,1))</f>
        <v>31</v>
      </c>
      <c r="D28" s="14" t="str">
        <f aca="false">CLEAN(B28)</f>
        <v>////PR:Music__SP:Barney2017108 $0 </v>
      </c>
      <c r="E28" s="21" t="n">
        <f aca="false">CODE(RIGHT(D28,1))</f>
        <v>32</v>
      </c>
      <c r="F28" s="14" t="str">
        <f aca="false">SUBSTITUTE(D28,_xlfn.UNICHAR(160)," ")</f>
        <v>////PR:Music__SP:Barney2017108 $0 </v>
      </c>
      <c r="G28" s="14" t="str">
        <f aca="false">SUBSTITUTE(F28,"/","")</f>
        <v>PR:Music__SP:Barney2017108 $0 </v>
      </c>
      <c r="H28" s="14" t="str">
        <f aca="false">SUBSTITUTE(G28,"_"," ")</f>
        <v>PR:Music  SP:Barney2017108 $0 </v>
      </c>
      <c r="I28" s="14" t="str">
        <f aca="false">TRIM(H28)</f>
        <v>PR:Music SP:Barney2017108 $0</v>
      </c>
      <c r="J28" s="21" t="n">
        <f aca="false">LEN(I28)</f>
        <v>28</v>
      </c>
      <c r="K28" s="21" t="n">
        <f aca="false">CODE(RIGHT(I28,1))</f>
        <v>48</v>
      </c>
      <c r="L28" s="14" t="str">
        <f aca="false">SUBSTITUTE(I28,"PR:","")</f>
        <v>Music SP:Barney2017108 $0</v>
      </c>
      <c r="M28" s="14" t="str">
        <f aca="false">SUBSTITUTE(L28,"SP:","")</f>
        <v>Music Barney2017108 $0</v>
      </c>
      <c r="N28" s="15" t="str">
        <f aca="false">SUBSTITUTE(M28,"201710"," 201710")</f>
        <v>Music Barney 2017108 $0</v>
      </c>
      <c r="O28" s="21" t="n">
        <f aca="false">FIND(" ",N28)</f>
        <v>6</v>
      </c>
      <c r="P28" s="21" t="n">
        <f aca="false">FIND(" ",N28,O28+1)</f>
        <v>13</v>
      </c>
      <c r="Q28" s="21" t="n">
        <f aca="false">FIND(" ",N28,P28+1)</f>
        <v>21</v>
      </c>
      <c r="R28" s="26" t="str">
        <f aca="false">LEFT(N28,O28-1)</f>
        <v>Music</v>
      </c>
      <c r="S28" s="26" t="str">
        <f aca="false">MID(N28,O28+1,P28-O28-1)</f>
        <v>Barney</v>
      </c>
      <c r="T28" s="26" t="str">
        <f aca="false">MID(N28,P28+1,Q28-P28-1)</f>
        <v>2017108</v>
      </c>
      <c r="U28" s="26" t="n">
        <f aca="false">VALUE(MID(N28,Q28+2,90))</f>
        <v>0</v>
      </c>
      <c r="V28" s="27" t="n">
        <f aca="false">DATE(2017,10,MID(T28,7,2))</f>
        <v>43016</v>
      </c>
    </row>
    <row r="29" customFormat="false" ht="14.25" hidden="false" customHeight="false" outlineLevel="0" collapsed="false">
      <c r="A29" s="23" t="n">
        <f aca="false">A28+1</f>
        <v>25</v>
      </c>
      <c r="B29" s="14" t="s">
        <v>43</v>
      </c>
      <c r="C29" s="21" t="n">
        <f aca="false">CODE(RIGHT(B29,1))</f>
        <v>30</v>
      </c>
      <c r="D29" s="14" t="str">
        <f aca="false">CLEAN(B29)</f>
        <v>///PR:Books___SP:Carol20171023 $0   </v>
      </c>
      <c r="E29" s="21" t="n">
        <f aca="false">CODE(RIGHT(D29,1))</f>
        <v>32</v>
      </c>
      <c r="F29" s="14" t="str">
        <f aca="false">SUBSTITUTE(D29,_xlfn.UNICHAR(160)," ")</f>
        <v>///PR:Books___SP:Carol20171023 $0   </v>
      </c>
      <c r="G29" s="14" t="str">
        <f aca="false">SUBSTITUTE(F29,"/","")</f>
        <v>PR:Books___SP:Carol20171023 $0   </v>
      </c>
      <c r="H29" s="14" t="str">
        <f aca="false">SUBSTITUTE(G29,"_"," ")</f>
        <v>PR:Books   SP:Carol20171023 $0   </v>
      </c>
      <c r="I29" s="14" t="str">
        <f aca="false">TRIM(H29)</f>
        <v>PR:Books SP:Carol20171023 $0</v>
      </c>
      <c r="J29" s="21" t="n">
        <f aca="false">LEN(I29)</f>
        <v>28</v>
      </c>
      <c r="K29" s="21" t="n">
        <f aca="false">CODE(RIGHT(I29,1))</f>
        <v>48</v>
      </c>
      <c r="L29" s="14" t="str">
        <f aca="false">SUBSTITUTE(I29,"PR:","")</f>
        <v>Books SP:Carol20171023 $0</v>
      </c>
      <c r="M29" s="14" t="str">
        <f aca="false">SUBSTITUTE(L29,"SP:","")</f>
        <v>Books Carol20171023 $0</v>
      </c>
      <c r="N29" s="15" t="str">
        <f aca="false">SUBSTITUTE(M29,"201710"," 201710")</f>
        <v>Books Carol 20171023 $0</v>
      </c>
      <c r="O29" s="21" t="n">
        <f aca="false">FIND(" ",N29)</f>
        <v>6</v>
      </c>
      <c r="P29" s="21" t="n">
        <f aca="false">FIND(" ",N29,O29+1)</f>
        <v>12</v>
      </c>
      <c r="Q29" s="21" t="n">
        <f aca="false">FIND(" ",N29,P29+1)</f>
        <v>21</v>
      </c>
      <c r="R29" s="26" t="str">
        <f aca="false">LEFT(N29,O29-1)</f>
        <v>Books</v>
      </c>
      <c r="S29" s="26" t="str">
        <f aca="false">MID(N29,O29+1,P29-O29-1)</f>
        <v>Carol</v>
      </c>
      <c r="T29" s="26" t="str">
        <f aca="false">MID(N29,P29+1,Q29-P29-1)</f>
        <v>20171023</v>
      </c>
      <c r="U29" s="26" t="n">
        <f aca="false">VALUE(MID(N29,Q29+2,90))</f>
        <v>0</v>
      </c>
      <c r="V29" s="27" t="n">
        <f aca="false">DATE(2017,10,MID(T29,7,2))</f>
        <v>43031</v>
      </c>
    </row>
    <row r="30" customFormat="false" ht="14.25" hidden="false" customHeight="false" outlineLevel="0" collapsed="false">
      <c r="A30" s="23" t="n">
        <f aca="false">A29+1</f>
        <v>26</v>
      </c>
      <c r="B30" s="14" t="s">
        <v>44</v>
      </c>
      <c r="C30" s="21" t="n">
        <f aca="false">CODE(RIGHT(B30,1))</f>
        <v>28</v>
      </c>
      <c r="D30" s="14" t="str">
        <f aca="false">CLEAN(B30)</f>
        <v>//PR:Games__SP:Alice20171011 $1326  </v>
      </c>
      <c r="E30" s="21" t="n">
        <f aca="false">CODE(RIGHT(D30,1))</f>
        <v>32</v>
      </c>
      <c r="F30" s="14" t="str">
        <f aca="false">SUBSTITUTE(D30,_xlfn.UNICHAR(160)," ")</f>
        <v>//PR:Games__SP:Alice20171011 $1326  </v>
      </c>
      <c r="G30" s="14" t="str">
        <f aca="false">SUBSTITUTE(F30,"/","")</f>
        <v>PR:Games__SP:Alice20171011 $1326  </v>
      </c>
      <c r="H30" s="14" t="str">
        <f aca="false">SUBSTITUTE(G30,"_"," ")</f>
        <v>PR:Games  SP:Alice20171011 $1326  </v>
      </c>
      <c r="I30" s="14" t="str">
        <f aca="false">TRIM(H30)</f>
        <v>PR:Games SP:Alice20171011 $1326</v>
      </c>
      <c r="J30" s="21" t="n">
        <f aca="false">LEN(I30)</f>
        <v>31</v>
      </c>
      <c r="K30" s="21" t="n">
        <f aca="false">CODE(RIGHT(I30,1))</f>
        <v>54</v>
      </c>
      <c r="L30" s="14" t="str">
        <f aca="false">SUBSTITUTE(I30,"PR:","")</f>
        <v>Games SP:Alice20171011 $1326</v>
      </c>
      <c r="M30" s="14" t="str">
        <f aca="false">SUBSTITUTE(L30,"SP:","")</f>
        <v>Games Alice20171011 $1326</v>
      </c>
      <c r="N30" s="15" t="str">
        <f aca="false">SUBSTITUTE(M30,"201710"," 201710")</f>
        <v>Games Alice 20171011 $1326</v>
      </c>
      <c r="O30" s="21" t="n">
        <f aca="false">FIND(" ",N30)</f>
        <v>6</v>
      </c>
      <c r="P30" s="21" t="n">
        <f aca="false">FIND(" ",N30,O30+1)</f>
        <v>12</v>
      </c>
      <c r="Q30" s="21" t="n">
        <f aca="false">FIND(" ",N30,P30+1)</f>
        <v>21</v>
      </c>
      <c r="R30" s="26" t="str">
        <f aca="false">LEFT(N30,O30-1)</f>
        <v>Games</v>
      </c>
      <c r="S30" s="26" t="str">
        <f aca="false">MID(N30,O30+1,P30-O30-1)</f>
        <v>Alice</v>
      </c>
      <c r="T30" s="26" t="str">
        <f aca="false">MID(N30,P30+1,Q30-P30-1)</f>
        <v>20171011</v>
      </c>
      <c r="U30" s="26" t="n">
        <f aca="false">VALUE(MID(N30,Q30+2,90))</f>
        <v>1326</v>
      </c>
      <c r="V30" s="27" t="n">
        <f aca="false">DATE(2017,10,MID(T30,7,2))</f>
        <v>43019</v>
      </c>
    </row>
    <row r="31" customFormat="false" ht="14.25" hidden="false" customHeight="false" outlineLevel="0" collapsed="false">
      <c r="A31" s="23" t="n">
        <f aca="false">A30+1</f>
        <v>27</v>
      </c>
      <c r="B31" s="14" t="s">
        <v>45</v>
      </c>
      <c r="C31" s="21" t="n">
        <f aca="false">CODE(RIGHT(B31,1))</f>
        <v>30</v>
      </c>
      <c r="D31" s="14" t="str">
        <f aca="false">CLEAN(B31)</f>
        <v>/////PR:Clothing_SP:David20171026  $1044 </v>
      </c>
      <c r="E31" s="21" t="n">
        <f aca="false">CODE(RIGHT(D31,1))</f>
        <v>32</v>
      </c>
      <c r="F31" s="14" t="str">
        <f aca="false">SUBSTITUTE(D31,_xlfn.UNICHAR(160)," ")</f>
        <v>/////PR:Clothing_SP:David20171026  $1044 </v>
      </c>
      <c r="G31" s="14" t="str">
        <f aca="false">SUBSTITUTE(F31,"/","")</f>
        <v>PR:Clothing_SP:David20171026  $1044 </v>
      </c>
      <c r="H31" s="14" t="str">
        <f aca="false">SUBSTITUTE(G31,"_"," ")</f>
        <v>PR:Clothing SP:David20171026  $1044 </v>
      </c>
      <c r="I31" s="14" t="str">
        <f aca="false">TRIM(H31)</f>
        <v>PR:Clothing SP:David20171026 $1044</v>
      </c>
      <c r="J31" s="21" t="n">
        <f aca="false">LEN(I31)</f>
        <v>34</v>
      </c>
      <c r="K31" s="21" t="n">
        <f aca="false">CODE(RIGHT(I31,1))</f>
        <v>52</v>
      </c>
      <c r="L31" s="14" t="str">
        <f aca="false">SUBSTITUTE(I31,"PR:","")</f>
        <v>Clothing SP:David20171026 $1044</v>
      </c>
      <c r="M31" s="14" t="str">
        <f aca="false">SUBSTITUTE(L31,"SP:","")</f>
        <v>Clothing David20171026 $1044</v>
      </c>
      <c r="N31" s="15" t="str">
        <f aca="false">SUBSTITUTE(M31,"201710"," 201710")</f>
        <v>Clothing David 20171026 $1044</v>
      </c>
      <c r="O31" s="21" t="n">
        <f aca="false">FIND(" ",N31)</f>
        <v>9</v>
      </c>
      <c r="P31" s="21" t="n">
        <f aca="false">FIND(" ",N31,O31+1)</f>
        <v>15</v>
      </c>
      <c r="Q31" s="21" t="n">
        <f aca="false">FIND(" ",N31,P31+1)</f>
        <v>24</v>
      </c>
      <c r="R31" s="26" t="str">
        <f aca="false">LEFT(N31,O31-1)</f>
        <v>Clothing</v>
      </c>
      <c r="S31" s="26" t="str">
        <f aca="false">MID(N31,O31+1,P31-O31-1)</f>
        <v>David</v>
      </c>
      <c r="T31" s="26" t="str">
        <f aca="false">MID(N31,P31+1,Q31-P31-1)</f>
        <v>20171026</v>
      </c>
      <c r="U31" s="26" t="n">
        <f aca="false">VALUE(MID(N31,Q31+2,90))</f>
        <v>1044</v>
      </c>
      <c r="V31" s="27" t="n">
        <f aca="false">DATE(2017,10,MID(T31,7,2))</f>
        <v>43034</v>
      </c>
    </row>
    <row r="32" customFormat="false" ht="14.25" hidden="false" customHeight="false" outlineLevel="0" collapsed="false">
      <c r="A32" s="23" t="n">
        <f aca="false">A31+1</f>
        <v>28</v>
      </c>
      <c r="B32" s="14" t="s">
        <v>46</v>
      </c>
      <c r="C32" s="21" t="n">
        <f aca="false">CODE(RIGHT(B32,1))</f>
        <v>29</v>
      </c>
      <c r="D32" s="14" t="str">
        <f aca="false">CLEAN(B32)</f>
        <v>//PR:Books_SP:Carol2017102  $0  </v>
      </c>
      <c r="E32" s="21" t="n">
        <f aca="false">CODE(RIGHT(D32,1))</f>
        <v>32</v>
      </c>
      <c r="F32" s="14" t="str">
        <f aca="false">SUBSTITUTE(D32,_xlfn.UNICHAR(160)," ")</f>
        <v>//PR:Books_SP:Carol2017102  $0  </v>
      </c>
      <c r="G32" s="14" t="str">
        <f aca="false">SUBSTITUTE(F32,"/","")</f>
        <v>PR:Books_SP:Carol2017102  $0  </v>
      </c>
      <c r="H32" s="14" t="str">
        <f aca="false">SUBSTITUTE(G32,"_"," ")</f>
        <v>PR:Books SP:Carol2017102  $0  </v>
      </c>
      <c r="I32" s="14" t="str">
        <f aca="false">TRIM(H32)</f>
        <v>PR:Books SP:Carol2017102 $0</v>
      </c>
      <c r="J32" s="21" t="n">
        <f aca="false">LEN(I32)</f>
        <v>27</v>
      </c>
      <c r="K32" s="21" t="n">
        <f aca="false">CODE(RIGHT(I32,1))</f>
        <v>48</v>
      </c>
      <c r="L32" s="14" t="str">
        <f aca="false">SUBSTITUTE(I32,"PR:","")</f>
        <v>Books SP:Carol2017102 $0</v>
      </c>
      <c r="M32" s="14" t="str">
        <f aca="false">SUBSTITUTE(L32,"SP:","")</f>
        <v>Books Carol2017102 $0</v>
      </c>
      <c r="N32" s="15" t="str">
        <f aca="false">SUBSTITUTE(M32,"201710"," 201710")</f>
        <v>Books Carol 2017102 $0</v>
      </c>
      <c r="O32" s="21" t="n">
        <f aca="false">FIND(" ",N32)</f>
        <v>6</v>
      </c>
      <c r="P32" s="21" t="n">
        <f aca="false">FIND(" ",N32,O32+1)</f>
        <v>12</v>
      </c>
      <c r="Q32" s="21" t="n">
        <f aca="false">FIND(" ",N32,P32+1)</f>
        <v>20</v>
      </c>
      <c r="R32" s="26" t="str">
        <f aca="false">LEFT(N32,O32-1)</f>
        <v>Books</v>
      </c>
      <c r="S32" s="26" t="str">
        <f aca="false">MID(N32,O32+1,P32-O32-1)</f>
        <v>Carol</v>
      </c>
      <c r="T32" s="26" t="str">
        <f aca="false">MID(N32,P32+1,Q32-P32-1)</f>
        <v>2017102</v>
      </c>
      <c r="U32" s="26" t="n">
        <f aca="false">VALUE(MID(N32,Q32+2,90))</f>
        <v>0</v>
      </c>
      <c r="V32" s="27" t="n">
        <f aca="false">DATE(2017,10,MID(T32,7,2))</f>
        <v>43010</v>
      </c>
    </row>
    <row r="33" customFormat="false" ht="14.25" hidden="false" customHeight="false" outlineLevel="0" collapsed="false">
      <c r="A33" s="23" t="n">
        <f aca="false">A32+1</f>
        <v>29</v>
      </c>
      <c r="B33" s="14" t="s">
        <v>47</v>
      </c>
      <c r="C33" s="21" t="n">
        <f aca="false">CODE(RIGHT(B33,1))</f>
        <v>29</v>
      </c>
      <c r="D33" s="14" t="str">
        <f aca="false">CLEAN(B33)</f>
        <v>/PR:Books_____SP:Carol2017104 $718    </v>
      </c>
      <c r="E33" s="21" t="n">
        <f aca="false">CODE(RIGHT(D33,1))</f>
        <v>32</v>
      </c>
      <c r="F33" s="14" t="str">
        <f aca="false">SUBSTITUTE(D33,_xlfn.UNICHAR(160)," ")</f>
        <v>/PR:Books_____SP:Carol2017104 $718    </v>
      </c>
      <c r="G33" s="14" t="str">
        <f aca="false">SUBSTITUTE(F33,"/","")</f>
        <v>PR:Books_____SP:Carol2017104 $718    </v>
      </c>
      <c r="H33" s="14" t="str">
        <f aca="false">SUBSTITUTE(G33,"_"," ")</f>
        <v>PR:Books     SP:Carol2017104 $718    </v>
      </c>
      <c r="I33" s="14" t="str">
        <f aca="false">TRIM(H33)</f>
        <v>PR:Books SP:Carol2017104 $718</v>
      </c>
      <c r="J33" s="21" t="n">
        <f aca="false">LEN(I33)</f>
        <v>29</v>
      </c>
      <c r="K33" s="21" t="n">
        <f aca="false">CODE(RIGHT(I33,1))</f>
        <v>56</v>
      </c>
      <c r="L33" s="14" t="str">
        <f aca="false">SUBSTITUTE(I33,"PR:","")</f>
        <v>Books SP:Carol2017104 $718</v>
      </c>
      <c r="M33" s="14" t="str">
        <f aca="false">SUBSTITUTE(L33,"SP:","")</f>
        <v>Books Carol2017104 $718</v>
      </c>
      <c r="N33" s="15" t="str">
        <f aca="false">SUBSTITUTE(M33,"201710"," 201710")</f>
        <v>Books Carol 2017104 $718</v>
      </c>
      <c r="O33" s="21" t="n">
        <f aca="false">FIND(" ",N33)</f>
        <v>6</v>
      </c>
      <c r="P33" s="21" t="n">
        <f aca="false">FIND(" ",N33,O33+1)</f>
        <v>12</v>
      </c>
      <c r="Q33" s="21" t="n">
        <f aca="false">FIND(" ",N33,P33+1)</f>
        <v>20</v>
      </c>
      <c r="R33" s="26" t="str">
        <f aca="false">LEFT(N33,O33-1)</f>
        <v>Books</v>
      </c>
      <c r="S33" s="26" t="str">
        <f aca="false">MID(N33,O33+1,P33-O33-1)</f>
        <v>Carol</v>
      </c>
      <c r="T33" s="26" t="str">
        <f aca="false">MID(N33,P33+1,Q33-P33-1)</f>
        <v>2017104</v>
      </c>
      <c r="U33" s="26" t="n">
        <f aca="false">VALUE(MID(N33,Q33+2,90))</f>
        <v>718</v>
      </c>
      <c r="V33" s="27" t="n">
        <f aca="false">DATE(2017,10,MID(T33,7,2))</f>
        <v>43012</v>
      </c>
    </row>
    <row r="34" customFormat="false" ht="14.25" hidden="false" customHeight="false" outlineLevel="0" collapsed="false">
      <c r="A34" s="23" t="n">
        <f aca="false">A33+1</f>
        <v>30</v>
      </c>
      <c r="B34" s="14" t="s">
        <v>48</v>
      </c>
      <c r="C34" s="21" t="n">
        <f aca="false">CODE(RIGHT(B34,1))</f>
        <v>30</v>
      </c>
      <c r="D34" s="14" t="str">
        <f aca="false">CLEAN(B34)</f>
        <v>//PR:Games__SP:Alice20171027     $1683     </v>
      </c>
      <c r="E34" s="21" t="n">
        <f aca="false">CODE(RIGHT(D34,1))</f>
        <v>32</v>
      </c>
      <c r="F34" s="14" t="str">
        <f aca="false">SUBSTITUTE(D34,_xlfn.UNICHAR(160)," ")</f>
        <v>//PR:Games__SP:Alice20171027     $1683     </v>
      </c>
      <c r="G34" s="14" t="str">
        <f aca="false">SUBSTITUTE(F34,"/","")</f>
        <v>PR:Games__SP:Alice20171027     $1683     </v>
      </c>
      <c r="H34" s="14" t="str">
        <f aca="false">SUBSTITUTE(G34,"_"," ")</f>
        <v>PR:Games  SP:Alice20171027     $1683     </v>
      </c>
      <c r="I34" s="14" t="str">
        <f aca="false">TRIM(H34)</f>
        <v>PR:Games SP:Alice20171027 $1683</v>
      </c>
      <c r="J34" s="21" t="n">
        <f aca="false">LEN(I34)</f>
        <v>31</v>
      </c>
      <c r="K34" s="21" t="n">
        <f aca="false">CODE(RIGHT(I34,1))</f>
        <v>51</v>
      </c>
      <c r="L34" s="14" t="str">
        <f aca="false">SUBSTITUTE(I34,"PR:","")</f>
        <v>Games SP:Alice20171027 $1683</v>
      </c>
      <c r="M34" s="14" t="str">
        <f aca="false">SUBSTITUTE(L34,"SP:","")</f>
        <v>Games Alice20171027 $1683</v>
      </c>
      <c r="N34" s="15" t="str">
        <f aca="false">SUBSTITUTE(M34,"201710"," 201710")</f>
        <v>Games Alice 20171027 $1683</v>
      </c>
      <c r="O34" s="21" t="n">
        <f aca="false">FIND(" ",N34)</f>
        <v>6</v>
      </c>
      <c r="P34" s="21" t="n">
        <f aca="false">FIND(" ",N34,O34+1)</f>
        <v>12</v>
      </c>
      <c r="Q34" s="21" t="n">
        <f aca="false">FIND(" ",N34,P34+1)</f>
        <v>21</v>
      </c>
      <c r="R34" s="26" t="str">
        <f aca="false">LEFT(N34,O34-1)</f>
        <v>Games</v>
      </c>
      <c r="S34" s="26" t="str">
        <f aca="false">MID(N34,O34+1,P34-O34-1)</f>
        <v>Alice</v>
      </c>
      <c r="T34" s="26" t="str">
        <f aca="false">MID(N34,P34+1,Q34-P34-1)</f>
        <v>20171027</v>
      </c>
      <c r="U34" s="26" t="n">
        <f aca="false">VALUE(MID(N34,Q34+2,90))</f>
        <v>1683</v>
      </c>
      <c r="V34" s="27" t="n">
        <f aca="false">DATE(2017,10,MID(T34,7,2))</f>
        <v>43035</v>
      </c>
    </row>
    <row r="35" customFormat="false" ht="14.25" hidden="false" customHeight="false" outlineLevel="0" collapsed="false">
      <c r="A35" s="23" t="n">
        <f aca="false">A34+1</f>
        <v>31</v>
      </c>
      <c r="B35" s="14" t="s">
        <v>49</v>
      </c>
      <c r="C35" s="21" t="n">
        <f aca="false">CODE(RIGHT(B35,1))</f>
        <v>30</v>
      </c>
      <c r="D35" s="14" t="str">
        <f aca="false">CLEAN(B35)</f>
        <v>////PR:Clothing__SP:Carol20171017     $794   </v>
      </c>
      <c r="E35" s="21" t="n">
        <f aca="false">CODE(RIGHT(D35,1))</f>
        <v>32</v>
      </c>
      <c r="F35" s="14" t="str">
        <f aca="false">SUBSTITUTE(D35,_xlfn.UNICHAR(160)," ")</f>
        <v>////PR:Clothing__SP:Carol20171017     $794   </v>
      </c>
      <c r="G35" s="14" t="str">
        <f aca="false">SUBSTITUTE(F35,"/","")</f>
        <v>PR:Clothing__SP:Carol20171017     $794   </v>
      </c>
      <c r="H35" s="14" t="str">
        <f aca="false">SUBSTITUTE(G35,"_"," ")</f>
        <v>PR:Clothing  SP:Carol20171017     $794   </v>
      </c>
      <c r="I35" s="14" t="str">
        <f aca="false">TRIM(H35)</f>
        <v>PR:Clothing SP:Carol20171017 $794</v>
      </c>
      <c r="J35" s="21" t="n">
        <f aca="false">LEN(I35)</f>
        <v>33</v>
      </c>
      <c r="K35" s="21" t="n">
        <f aca="false">CODE(RIGHT(I35,1))</f>
        <v>52</v>
      </c>
      <c r="L35" s="14" t="str">
        <f aca="false">SUBSTITUTE(I35,"PR:","")</f>
        <v>Clothing SP:Carol20171017 $794</v>
      </c>
      <c r="M35" s="14" t="str">
        <f aca="false">SUBSTITUTE(L35,"SP:","")</f>
        <v>Clothing Carol20171017 $794</v>
      </c>
      <c r="N35" s="15" t="str">
        <f aca="false">SUBSTITUTE(M35,"201710"," 201710")</f>
        <v>Clothing Carol 20171017 $794</v>
      </c>
      <c r="O35" s="21" t="n">
        <f aca="false">FIND(" ",N35)</f>
        <v>9</v>
      </c>
      <c r="P35" s="21" t="n">
        <f aca="false">FIND(" ",N35,O35+1)</f>
        <v>15</v>
      </c>
      <c r="Q35" s="21" t="n">
        <f aca="false">FIND(" ",N35,P35+1)</f>
        <v>24</v>
      </c>
      <c r="R35" s="26" t="str">
        <f aca="false">LEFT(N35,O35-1)</f>
        <v>Clothing</v>
      </c>
      <c r="S35" s="26" t="str">
        <f aca="false">MID(N35,O35+1,P35-O35-1)</f>
        <v>Carol</v>
      </c>
      <c r="T35" s="26" t="str">
        <f aca="false">MID(N35,P35+1,Q35-P35-1)</f>
        <v>20171017</v>
      </c>
      <c r="U35" s="26" t="n">
        <f aca="false">VALUE(MID(N35,Q35+2,90))</f>
        <v>794</v>
      </c>
      <c r="V35" s="27" t="n">
        <f aca="false">DATE(2017,10,MID(T35,7,2))</f>
        <v>43025</v>
      </c>
    </row>
    <row r="36" customFormat="false" ht="14.25" hidden="false" customHeight="false" outlineLevel="0" collapsed="false">
      <c r="A36" s="23" t="n">
        <f aca="false">A35+1</f>
        <v>32</v>
      </c>
      <c r="B36" s="14" t="s">
        <v>50</v>
      </c>
      <c r="C36" s="21" t="n">
        <f aca="false">CODE(RIGHT(B36,1))</f>
        <v>31</v>
      </c>
      <c r="D36" s="14" t="str">
        <f aca="false">CLEAN(B36)</f>
        <v>///PR:Games____SP:Alice20171023  $1747   </v>
      </c>
      <c r="E36" s="21" t="n">
        <f aca="false">CODE(RIGHT(D36,1))</f>
        <v>32</v>
      </c>
      <c r="F36" s="14" t="str">
        <f aca="false">SUBSTITUTE(D36,_xlfn.UNICHAR(160)," ")</f>
        <v>///PR:Games____SP:Alice20171023  $1747   </v>
      </c>
      <c r="G36" s="14" t="str">
        <f aca="false">SUBSTITUTE(F36,"/","")</f>
        <v>PR:Games____SP:Alice20171023  $1747   </v>
      </c>
      <c r="H36" s="14" t="str">
        <f aca="false">SUBSTITUTE(G36,"_"," ")</f>
        <v>PR:Games    SP:Alice20171023  $1747   </v>
      </c>
      <c r="I36" s="14" t="str">
        <f aca="false">TRIM(H36)</f>
        <v>PR:Games SP:Alice20171023 $1747</v>
      </c>
      <c r="J36" s="21" t="n">
        <f aca="false">LEN(I36)</f>
        <v>31</v>
      </c>
      <c r="K36" s="21" t="n">
        <f aca="false">CODE(RIGHT(I36,1))</f>
        <v>55</v>
      </c>
      <c r="L36" s="14" t="str">
        <f aca="false">SUBSTITUTE(I36,"PR:","")</f>
        <v>Games SP:Alice20171023 $1747</v>
      </c>
      <c r="M36" s="14" t="str">
        <f aca="false">SUBSTITUTE(L36,"SP:","")</f>
        <v>Games Alice20171023 $1747</v>
      </c>
      <c r="N36" s="15" t="str">
        <f aca="false">SUBSTITUTE(M36,"201710"," 201710")</f>
        <v>Games Alice 20171023 $1747</v>
      </c>
      <c r="O36" s="21" t="n">
        <f aca="false">FIND(" ",N36)</f>
        <v>6</v>
      </c>
      <c r="P36" s="21" t="n">
        <f aca="false">FIND(" ",N36,O36+1)</f>
        <v>12</v>
      </c>
      <c r="Q36" s="21" t="n">
        <f aca="false">FIND(" ",N36,P36+1)</f>
        <v>21</v>
      </c>
      <c r="R36" s="26" t="str">
        <f aca="false">LEFT(N36,O36-1)</f>
        <v>Games</v>
      </c>
      <c r="S36" s="26" t="str">
        <f aca="false">MID(N36,O36+1,P36-O36-1)</f>
        <v>Alice</v>
      </c>
      <c r="T36" s="26" t="str">
        <f aca="false">MID(N36,P36+1,Q36-P36-1)</f>
        <v>20171023</v>
      </c>
      <c r="U36" s="26" t="n">
        <f aca="false">VALUE(MID(N36,Q36+2,90))</f>
        <v>1747</v>
      </c>
      <c r="V36" s="27" t="n">
        <f aca="false">DATE(2017,10,MID(T36,7,2))</f>
        <v>43031</v>
      </c>
    </row>
    <row r="37" customFormat="false" ht="14.25" hidden="false" customHeight="false" outlineLevel="0" collapsed="false">
      <c r="A37" s="23" t="n">
        <f aca="false">A36+1</f>
        <v>33</v>
      </c>
      <c r="B37" s="14" t="s">
        <v>51</v>
      </c>
      <c r="C37" s="21" t="n">
        <f aca="false">CODE(RIGHT(B37,1))</f>
        <v>30</v>
      </c>
      <c r="D37" s="14" t="str">
        <f aca="false">CLEAN(B37)</f>
        <v>/////PR:Games____SP:David2017107    $1489    </v>
      </c>
      <c r="E37" s="21" t="n">
        <f aca="false">CODE(RIGHT(D37,1))</f>
        <v>32</v>
      </c>
      <c r="F37" s="14" t="str">
        <f aca="false">SUBSTITUTE(D37,_xlfn.UNICHAR(160)," ")</f>
        <v>/////PR:Games____SP:David2017107    $1489    </v>
      </c>
      <c r="G37" s="14" t="str">
        <f aca="false">SUBSTITUTE(F37,"/","")</f>
        <v>PR:Games____SP:David2017107    $1489    </v>
      </c>
      <c r="H37" s="14" t="str">
        <f aca="false">SUBSTITUTE(G37,"_"," ")</f>
        <v>PR:Games    SP:David2017107    $1489    </v>
      </c>
      <c r="I37" s="14" t="str">
        <f aca="false">TRIM(H37)</f>
        <v>PR:Games SP:David2017107 $1489</v>
      </c>
      <c r="J37" s="21" t="n">
        <f aca="false">LEN(I37)</f>
        <v>30</v>
      </c>
      <c r="K37" s="21" t="n">
        <f aca="false">CODE(RIGHT(I37,1))</f>
        <v>57</v>
      </c>
      <c r="L37" s="14" t="str">
        <f aca="false">SUBSTITUTE(I37,"PR:","")</f>
        <v>Games SP:David2017107 $1489</v>
      </c>
      <c r="M37" s="14" t="str">
        <f aca="false">SUBSTITUTE(L37,"SP:","")</f>
        <v>Games David2017107 $1489</v>
      </c>
      <c r="N37" s="15" t="str">
        <f aca="false">SUBSTITUTE(M37,"201710"," 201710")</f>
        <v>Games David 2017107 $1489</v>
      </c>
      <c r="O37" s="21" t="n">
        <f aca="false">FIND(" ",N37)</f>
        <v>6</v>
      </c>
      <c r="P37" s="21" t="n">
        <f aca="false">FIND(" ",N37,O37+1)</f>
        <v>12</v>
      </c>
      <c r="Q37" s="21" t="n">
        <f aca="false">FIND(" ",N37,P37+1)</f>
        <v>20</v>
      </c>
      <c r="R37" s="26" t="str">
        <f aca="false">LEFT(N37,O37-1)</f>
        <v>Games</v>
      </c>
      <c r="S37" s="26" t="str">
        <f aca="false">MID(N37,O37+1,P37-O37-1)</f>
        <v>David</v>
      </c>
      <c r="T37" s="26" t="str">
        <f aca="false">MID(N37,P37+1,Q37-P37-1)</f>
        <v>2017107</v>
      </c>
      <c r="U37" s="26" t="n">
        <f aca="false">VALUE(MID(N37,Q37+2,90))</f>
        <v>1489</v>
      </c>
      <c r="V37" s="27" t="n">
        <f aca="false">DATE(2017,10,MID(T37,7,2))</f>
        <v>43015</v>
      </c>
    </row>
    <row r="38" customFormat="false" ht="14.25" hidden="false" customHeight="false" outlineLevel="0" collapsed="false">
      <c r="A38" s="23" t="n">
        <f aca="false">A37+1</f>
        <v>34</v>
      </c>
      <c r="B38" s="14" t="s">
        <v>52</v>
      </c>
      <c r="C38" s="21" t="n">
        <f aca="false">CODE(RIGHT(B38,1))</f>
        <v>29</v>
      </c>
      <c r="D38" s="14" t="str">
        <f aca="false">CLEAN(B38)</f>
        <v>//PR:Clothing_____SP:Carol20171024     $681     </v>
      </c>
      <c r="E38" s="21" t="n">
        <f aca="false">CODE(RIGHT(D38,1))</f>
        <v>32</v>
      </c>
      <c r="F38" s="14" t="str">
        <f aca="false">SUBSTITUTE(D38,_xlfn.UNICHAR(160)," ")</f>
        <v>//PR:Clothing_____SP:Carol20171024     $681     </v>
      </c>
      <c r="G38" s="14" t="str">
        <f aca="false">SUBSTITUTE(F38,"/","")</f>
        <v>PR:Clothing_____SP:Carol20171024     $681     </v>
      </c>
      <c r="H38" s="14" t="str">
        <f aca="false">SUBSTITUTE(G38,"_"," ")</f>
        <v>PR:Clothing     SP:Carol20171024     $681     </v>
      </c>
      <c r="I38" s="14" t="str">
        <f aca="false">TRIM(H38)</f>
        <v>PR:Clothing SP:Carol20171024 $681</v>
      </c>
      <c r="J38" s="21" t="n">
        <f aca="false">LEN(I38)</f>
        <v>33</v>
      </c>
      <c r="K38" s="21" t="n">
        <f aca="false">CODE(RIGHT(I38,1))</f>
        <v>49</v>
      </c>
      <c r="L38" s="14" t="str">
        <f aca="false">SUBSTITUTE(I38,"PR:","")</f>
        <v>Clothing SP:Carol20171024 $681</v>
      </c>
      <c r="M38" s="14" t="str">
        <f aca="false">SUBSTITUTE(L38,"SP:","")</f>
        <v>Clothing Carol20171024 $681</v>
      </c>
      <c r="N38" s="15" t="str">
        <f aca="false">SUBSTITUTE(M38,"201710"," 201710")</f>
        <v>Clothing Carol 20171024 $681</v>
      </c>
      <c r="O38" s="21" t="n">
        <f aca="false">FIND(" ",N38)</f>
        <v>9</v>
      </c>
      <c r="P38" s="21" t="n">
        <f aca="false">FIND(" ",N38,O38+1)</f>
        <v>15</v>
      </c>
      <c r="Q38" s="21" t="n">
        <f aca="false">FIND(" ",N38,P38+1)</f>
        <v>24</v>
      </c>
      <c r="R38" s="26" t="str">
        <f aca="false">LEFT(N38,O38-1)</f>
        <v>Clothing</v>
      </c>
      <c r="S38" s="26" t="str">
        <f aca="false">MID(N38,O38+1,P38-O38-1)</f>
        <v>Carol</v>
      </c>
      <c r="T38" s="26" t="str">
        <f aca="false">MID(N38,P38+1,Q38-P38-1)</f>
        <v>20171024</v>
      </c>
      <c r="U38" s="26" t="n">
        <f aca="false">VALUE(MID(N38,Q38+2,90))</f>
        <v>681</v>
      </c>
      <c r="V38" s="27" t="n">
        <f aca="false">DATE(2017,10,MID(T38,7,2))</f>
        <v>43032</v>
      </c>
    </row>
    <row r="39" customFormat="false" ht="14.25" hidden="false" customHeight="false" outlineLevel="0" collapsed="false">
      <c r="A39" s="23" t="n">
        <f aca="false">A38+1</f>
        <v>35</v>
      </c>
      <c r="B39" s="14" t="s">
        <v>53</v>
      </c>
      <c r="C39" s="21" t="n">
        <f aca="false">CODE(RIGHT(B39,1))</f>
        <v>30</v>
      </c>
      <c r="D39" s="14" t="str">
        <f aca="false">CLEAN(B39)</f>
        <v>/PR:Clothing_SP:Carol20171030   $0     </v>
      </c>
      <c r="E39" s="21" t="n">
        <f aca="false">CODE(RIGHT(D39,1))</f>
        <v>32</v>
      </c>
      <c r="F39" s="14" t="str">
        <f aca="false">SUBSTITUTE(D39,_xlfn.UNICHAR(160)," ")</f>
        <v>/PR:Clothing_SP:Carol20171030   $0     </v>
      </c>
      <c r="G39" s="14" t="str">
        <f aca="false">SUBSTITUTE(F39,"/","")</f>
        <v>PR:Clothing_SP:Carol20171030   $0     </v>
      </c>
      <c r="H39" s="14" t="str">
        <f aca="false">SUBSTITUTE(G39,"_"," ")</f>
        <v>PR:Clothing SP:Carol20171030   $0     </v>
      </c>
      <c r="I39" s="14" t="str">
        <f aca="false">TRIM(H39)</f>
        <v>PR:Clothing SP:Carol20171030 $0</v>
      </c>
      <c r="J39" s="21" t="n">
        <f aca="false">LEN(I39)</f>
        <v>31</v>
      </c>
      <c r="K39" s="21" t="n">
        <f aca="false">CODE(RIGHT(I39,1))</f>
        <v>48</v>
      </c>
      <c r="L39" s="14" t="str">
        <f aca="false">SUBSTITUTE(I39,"PR:","")</f>
        <v>Clothing SP:Carol20171030 $0</v>
      </c>
      <c r="M39" s="14" t="str">
        <f aca="false">SUBSTITUTE(L39,"SP:","")</f>
        <v>Clothing Carol20171030 $0</v>
      </c>
      <c r="N39" s="15" t="str">
        <f aca="false">SUBSTITUTE(M39,"201710"," 201710")</f>
        <v>Clothing Carol 20171030 $0</v>
      </c>
      <c r="O39" s="21" t="n">
        <f aca="false">FIND(" ",N39)</f>
        <v>9</v>
      </c>
      <c r="P39" s="21" t="n">
        <f aca="false">FIND(" ",N39,O39+1)</f>
        <v>15</v>
      </c>
      <c r="Q39" s="21" t="n">
        <f aca="false">FIND(" ",N39,P39+1)</f>
        <v>24</v>
      </c>
      <c r="R39" s="26" t="str">
        <f aca="false">LEFT(N39,O39-1)</f>
        <v>Clothing</v>
      </c>
      <c r="S39" s="26" t="str">
        <f aca="false">MID(N39,O39+1,P39-O39-1)</f>
        <v>Carol</v>
      </c>
      <c r="T39" s="26" t="str">
        <f aca="false">MID(N39,P39+1,Q39-P39-1)</f>
        <v>20171030</v>
      </c>
      <c r="U39" s="26" t="n">
        <f aca="false">VALUE(MID(N39,Q39+2,90))</f>
        <v>0</v>
      </c>
      <c r="V39" s="27" t="n">
        <f aca="false">DATE(2017,10,MID(T39,7,2))</f>
        <v>43038</v>
      </c>
    </row>
    <row r="40" customFormat="false" ht="14.25" hidden="false" customHeight="false" outlineLevel="0" collapsed="false">
      <c r="A40" s="23" t="n">
        <f aca="false">A39+1</f>
        <v>36</v>
      </c>
      <c r="B40" s="14" t="s">
        <v>54</v>
      </c>
      <c r="C40" s="21" t="n">
        <f aca="false">CODE(RIGHT(B40,1))</f>
        <v>29</v>
      </c>
      <c r="D40" s="14" t="str">
        <f aca="false">CLEAN(B40)</f>
        <v>//PR:Music____SP:Alice20171020  $0    </v>
      </c>
      <c r="E40" s="21" t="n">
        <f aca="false">CODE(RIGHT(D40,1))</f>
        <v>32</v>
      </c>
      <c r="F40" s="14" t="str">
        <f aca="false">SUBSTITUTE(D40,_xlfn.UNICHAR(160)," ")</f>
        <v>//PR:Music____SP:Alice20171020  $0    </v>
      </c>
      <c r="G40" s="14" t="str">
        <f aca="false">SUBSTITUTE(F40,"/","")</f>
        <v>PR:Music____SP:Alice20171020  $0    </v>
      </c>
      <c r="H40" s="14" t="str">
        <f aca="false">SUBSTITUTE(G40,"_"," ")</f>
        <v>PR:Music    SP:Alice20171020  $0    </v>
      </c>
      <c r="I40" s="14" t="str">
        <f aca="false">TRIM(H40)</f>
        <v>PR:Music SP:Alice20171020 $0</v>
      </c>
      <c r="J40" s="21" t="n">
        <f aca="false">LEN(I40)</f>
        <v>28</v>
      </c>
      <c r="K40" s="21" t="n">
        <f aca="false">CODE(RIGHT(I40,1))</f>
        <v>48</v>
      </c>
      <c r="L40" s="14" t="str">
        <f aca="false">SUBSTITUTE(I40,"PR:","")</f>
        <v>Music SP:Alice20171020 $0</v>
      </c>
      <c r="M40" s="14" t="str">
        <f aca="false">SUBSTITUTE(L40,"SP:","")</f>
        <v>Music Alice20171020 $0</v>
      </c>
      <c r="N40" s="15" t="str">
        <f aca="false">SUBSTITUTE(M40,"201710"," 201710")</f>
        <v>Music Alice 20171020 $0</v>
      </c>
      <c r="O40" s="21" t="n">
        <f aca="false">FIND(" ",N40)</f>
        <v>6</v>
      </c>
      <c r="P40" s="21" t="n">
        <f aca="false">FIND(" ",N40,O40+1)</f>
        <v>12</v>
      </c>
      <c r="Q40" s="21" t="n">
        <f aca="false">FIND(" ",N40,P40+1)</f>
        <v>21</v>
      </c>
      <c r="R40" s="26" t="str">
        <f aca="false">LEFT(N40,O40-1)</f>
        <v>Music</v>
      </c>
      <c r="S40" s="26" t="str">
        <f aca="false">MID(N40,O40+1,P40-O40-1)</f>
        <v>Alice</v>
      </c>
      <c r="T40" s="26" t="str">
        <f aca="false">MID(N40,P40+1,Q40-P40-1)</f>
        <v>20171020</v>
      </c>
      <c r="U40" s="26" t="n">
        <f aca="false">VALUE(MID(N40,Q40+2,90))</f>
        <v>0</v>
      </c>
      <c r="V40" s="27" t="n">
        <f aca="false">DATE(2017,10,MID(T40,7,2))</f>
        <v>43028</v>
      </c>
    </row>
    <row r="41" customFormat="false" ht="14.25" hidden="false" customHeight="false" outlineLevel="0" collapsed="false">
      <c r="A41" s="23" t="n">
        <f aca="false">A40+1</f>
        <v>37</v>
      </c>
      <c r="B41" s="14" t="s">
        <v>55</v>
      </c>
      <c r="C41" s="21" t="n">
        <f aca="false">CODE(RIGHT(B41,1))</f>
        <v>28</v>
      </c>
      <c r="D41" s="14" t="str">
        <f aca="false">CLEAN(B41)</f>
        <v>//PR:Books__SP:David20171021    $960    </v>
      </c>
      <c r="E41" s="21" t="n">
        <f aca="false">CODE(RIGHT(D41,1))</f>
        <v>32</v>
      </c>
      <c r="F41" s="14" t="str">
        <f aca="false">SUBSTITUTE(D41,_xlfn.UNICHAR(160)," ")</f>
        <v>//PR:Books__SP:David20171021    $960    </v>
      </c>
      <c r="G41" s="14" t="str">
        <f aca="false">SUBSTITUTE(F41,"/","")</f>
        <v>PR:Books__SP:David20171021    $960    </v>
      </c>
      <c r="H41" s="14" t="str">
        <f aca="false">SUBSTITUTE(G41,"_"," ")</f>
        <v>PR:Books  SP:David20171021    $960    </v>
      </c>
      <c r="I41" s="14" t="str">
        <f aca="false">TRIM(H41)</f>
        <v>PR:Books SP:David20171021 $960</v>
      </c>
      <c r="J41" s="21" t="n">
        <f aca="false">LEN(I41)</f>
        <v>30</v>
      </c>
      <c r="K41" s="21" t="n">
        <f aca="false">CODE(RIGHT(I41,1))</f>
        <v>48</v>
      </c>
      <c r="L41" s="14" t="str">
        <f aca="false">SUBSTITUTE(I41,"PR:","")</f>
        <v>Books SP:David20171021 $960</v>
      </c>
      <c r="M41" s="14" t="str">
        <f aca="false">SUBSTITUTE(L41,"SP:","")</f>
        <v>Books David20171021 $960</v>
      </c>
      <c r="N41" s="15" t="str">
        <f aca="false">SUBSTITUTE(M41,"201710"," 201710")</f>
        <v>Books David 20171021 $960</v>
      </c>
      <c r="O41" s="21" t="n">
        <f aca="false">FIND(" ",N41)</f>
        <v>6</v>
      </c>
      <c r="P41" s="21" t="n">
        <f aca="false">FIND(" ",N41,O41+1)</f>
        <v>12</v>
      </c>
      <c r="Q41" s="21" t="n">
        <f aca="false">FIND(" ",N41,P41+1)</f>
        <v>21</v>
      </c>
      <c r="R41" s="26" t="str">
        <f aca="false">LEFT(N41,O41-1)</f>
        <v>Books</v>
      </c>
      <c r="S41" s="26" t="str">
        <f aca="false">MID(N41,O41+1,P41-O41-1)</f>
        <v>David</v>
      </c>
      <c r="T41" s="26" t="str">
        <f aca="false">MID(N41,P41+1,Q41-P41-1)</f>
        <v>20171021</v>
      </c>
      <c r="U41" s="26" t="n">
        <f aca="false">VALUE(MID(N41,Q41+2,90))</f>
        <v>960</v>
      </c>
      <c r="V41" s="27" t="n">
        <f aca="false">DATE(2017,10,MID(T41,7,2))</f>
        <v>43029</v>
      </c>
    </row>
    <row r="42" customFormat="false" ht="14.25" hidden="false" customHeight="false" outlineLevel="0" collapsed="false">
      <c r="A42" s="23" t="n">
        <f aca="false">A41+1</f>
        <v>38</v>
      </c>
      <c r="B42" s="14" t="s">
        <v>56</v>
      </c>
      <c r="C42" s="21" t="n">
        <f aca="false">CODE(RIGHT(B42,1))</f>
        <v>30</v>
      </c>
      <c r="D42" s="14" t="str">
        <f aca="false">CLEAN(B42)</f>
        <v>/PR:Books_____SP:Carol20171030   $731   </v>
      </c>
      <c r="E42" s="21" t="n">
        <f aca="false">CODE(RIGHT(D42,1))</f>
        <v>32</v>
      </c>
      <c r="F42" s="14" t="str">
        <f aca="false">SUBSTITUTE(D42,_xlfn.UNICHAR(160)," ")</f>
        <v>/PR:Books_____SP:Carol20171030   $731   </v>
      </c>
      <c r="G42" s="14" t="str">
        <f aca="false">SUBSTITUTE(F42,"/","")</f>
        <v>PR:Books_____SP:Carol20171030   $731   </v>
      </c>
      <c r="H42" s="14" t="str">
        <f aca="false">SUBSTITUTE(G42,"_"," ")</f>
        <v>PR:Books     SP:Carol20171030   $731   </v>
      </c>
      <c r="I42" s="14" t="str">
        <f aca="false">TRIM(H42)</f>
        <v>PR:Books SP:Carol20171030 $731</v>
      </c>
      <c r="J42" s="21" t="n">
        <f aca="false">LEN(I42)</f>
        <v>30</v>
      </c>
      <c r="K42" s="21" t="n">
        <f aca="false">CODE(RIGHT(I42,1))</f>
        <v>49</v>
      </c>
      <c r="L42" s="14" t="str">
        <f aca="false">SUBSTITUTE(I42,"PR:","")</f>
        <v>Books SP:Carol20171030 $731</v>
      </c>
      <c r="M42" s="14" t="str">
        <f aca="false">SUBSTITUTE(L42,"SP:","")</f>
        <v>Books Carol20171030 $731</v>
      </c>
      <c r="N42" s="15" t="str">
        <f aca="false">SUBSTITUTE(M42,"201710"," 201710")</f>
        <v>Books Carol 20171030 $731</v>
      </c>
      <c r="O42" s="21" t="n">
        <f aca="false">FIND(" ",N42)</f>
        <v>6</v>
      </c>
      <c r="P42" s="21" t="n">
        <f aca="false">FIND(" ",N42,O42+1)</f>
        <v>12</v>
      </c>
      <c r="Q42" s="21" t="n">
        <f aca="false">FIND(" ",N42,P42+1)</f>
        <v>21</v>
      </c>
      <c r="R42" s="26" t="str">
        <f aca="false">LEFT(N42,O42-1)</f>
        <v>Books</v>
      </c>
      <c r="S42" s="26" t="str">
        <f aca="false">MID(N42,O42+1,P42-O42-1)</f>
        <v>Carol</v>
      </c>
      <c r="T42" s="26" t="str">
        <f aca="false">MID(N42,P42+1,Q42-P42-1)</f>
        <v>20171030</v>
      </c>
      <c r="U42" s="26" t="n">
        <f aca="false">VALUE(MID(N42,Q42+2,90))</f>
        <v>731</v>
      </c>
      <c r="V42" s="27" t="n">
        <f aca="false">DATE(2017,10,MID(T42,7,2))</f>
        <v>43038</v>
      </c>
    </row>
    <row r="43" customFormat="false" ht="14.25" hidden="false" customHeight="false" outlineLevel="0" collapsed="false">
      <c r="A43" s="23" t="n">
        <f aca="false">A42+1</f>
        <v>39</v>
      </c>
      <c r="B43" s="14" t="s">
        <v>57</v>
      </c>
      <c r="C43" s="21" t="n">
        <f aca="false">CODE(RIGHT(B43,1))</f>
        <v>30</v>
      </c>
      <c r="D43" s="14" t="str">
        <f aca="false">CLEAN(B43)</f>
        <v>/////PR:Games_____SP:David2017102   $2153    </v>
      </c>
      <c r="E43" s="21" t="n">
        <f aca="false">CODE(RIGHT(D43,1))</f>
        <v>32</v>
      </c>
      <c r="F43" s="14" t="str">
        <f aca="false">SUBSTITUTE(D43,_xlfn.UNICHAR(160)," ")</f>
        <v>/////PR:Games_____SP:David2017102   $2153    </v>
      </c>
      <c r="G43" s="14" t="str">
        <f aca="false">SUBSTITUTE(F43,"/","")</f>
        <v>PR:Games_____SP:David2017102   $2153    </v>
      </c>
      <c r="H43" s="14" t="str">
        <f aca="false">SUBSTITUTE(G43,"_"," ")</f>
        <v>PR:Games     SP:David2017102   $2153    </v>
      </c>
      <c r="I43" s="14" t="str">
        <f aca="false">TRIM(H43)</f>
        <v>PR:Games SP:David2017102 $2153</v>
      </c>
      <c r="J43" s="21" t="n">
        <f aca="false">LEN(I43)</f>
        <v>30</v>
      </c>
      <c r="K43" s="21" t="n">
        <f aca="false">CODE(RIGHT(I43,1))</f>
        <v>51</v>
      </c>
      <c r="L43" s="14" t="str">
        <f aca="false">SUBSTITUTE(I43,"PR:","")</f>
        <v>Games SP:David2017102 $2153</v>
      </c>
      <c r="M43" s="14" t="str">
        <f aca="false">SUBSTITUTE(L43,"SP:","")</f>
        <v>Games David2017102 $2153</v>
      </c>
      <c r="N43" s="15" t="str">
        <f aca="false">SUBSTITUTE(M43,"201710"," 201710")</f>
        <v>Games David 2017102 $2153</v>
      </c>
      <c r="O43" s="21" t="n">
        <f aca="false">FIND(" ",N43)</f>
        <v>6</v>
      </c>
      <c r="P43" s="21" t="n">
        <f aca="false">FIND(" ",N43,O43+1)</f>
        <v>12</v>
      </c>
      <c r="Q43" s="21" t="n">
        <f aca="false">FIND(" ",N43,P43+1)</f>
        <v>20</v>
      </c>
      <c r="R43" s="26" t="str">
        <f aca="false">LEFT(N43,O43-1)</f>
        <v>Games</v>
      </c>
      <c r="S43" s="26" t="str">
        <f aca="false">MID(N43,O43+1,P43-O43-1)</f>
        <v>David</v>
      </c>
      <c r="T43" s="26" t="str">
        <f aca="false">MID(N43,P43+1,Q43-P43-1)</f>
        <v>2017102</v>
      </c>
      <c r="U43" s="26" t="n">
        <f aca="false">VALUE(MID(N43,Q43+2,90))</f>
        <v>2153</v>
      </c>
      <c r="V43" s="27" t="n">
        <f aca="false">DATE(2017,10,MID(T43,7,2))</f>
        <v>43010</v>
      </c>
    </row>
    <row r="44" customFormat="false" ht="14.25" hidden="false" customHeight="false" outlineLevel="0" collapsed="false">
      <c r="A44" s="23" t="n">
        <f aca="false">A43+1</f>
        <v>40</v>
      </c>
      <c r="B44" s="14" t="s">
        <v>58</v>
      </c>
      <c r="C44" s="21" t="n">
        <f aca="false">CODE(RIGHT(B44,1))</f>
        <v>31</v>
      </c>
      <c r="D44" s="14" t="str">
        <f aca="false">CLEAN(B44)</f>
        <v>////PR:Music_SP:Alice20171011  $0    </v>
      </c>
      <c r="E44" s="21" t="n">
        <f aca="false">CODE(RIGHT(D44,1))</f>
        <v>32</v>
      </c>
      <c r="F44" s="14" t="str">
        <f aca="false">SUBSTITUTE(D44,_xlfn.UNICHAR(160)," ")</f>
        <v>////PR:Music_SP:Alice20171011  $0    </v>
      </c>
      <c r="G44" s="14" t="str">
        <f aca="false">SUBSTITUTE(F44,"/","")</f>
        <v>PR:Music_SP:Alice20171011  $0    </v>
      </c>
      <c r="H44" s="14" t="str">
        <f aca="false">SUBSTITUTE(G44,"_"," ")</f>
        <v>PR:Music SP:Alice20171011  $0    </v>
      </c>
      <c r="I44" s="14" t="str">
        <f aca="false">TRIM(H44)</f>
        <v>PR:Music SP:Alice20171011 $0</v>
      </c>
      <c r="J44" s="21" t="n">
        <f aca="false">LEN(I44)</f>
        <v>28</v>
      </c>
      <c r="K44" s="21" t="n">
        <f aca="false">CODE(RIGHT(I44,1))</f>
        <v>48</v>
      </c>
      <c r="L44" s="14" t="str">
        <f aca="false">SUBSTITUTE(I44,"PR:","")</f>
        <v>Music SP:Alice20171011 $0</v>
      </c>
      <c r="M44" s="14" t="str">
        <f aca="false">SUBSTITUTE(L44,"SP:","")</f>
        <v>Music Alice20171011 $0</v>
      </c>
      <c r="N44" s="15" t="str">
        <f aca="false">SUBSTITUTE(M44,"201710"," 201710")</f>
        <v>Music Alice 20171011 $0</v>
      </c>
      <c r="O44" s="21" t="n">
        <f aca="false">FIND(" ",N44)</f>
        <v>6</v>
      </c>
      <c r="P44" s="21" t="n">
        <f aca="false">FIND(" ",N44,O44+1)</f>
        <v>12</v>
      </c>
      <c r="Q44" s="21" t="n">
        <f aca="false">FIND(" ",N44,P44+1)</f>
        <v>21</v>
      </c>
      <c r="R44" s="26" t="str">
        <f aca="false">LEFT(N44,O44-1)</f>
        <v>Music</v>
      </c>
      <c r="S44" s="26" t="str">
        <f aca="false">MID(N44,O44+1,P44-O44-1)</f>
        <v>Alice</v>
      </c>
      <c r="T44" s="26" t="str">
        <f aca="false">MID(N44,P44+1,Q44-P44-1)</f>
        <v>20171011</v>
      </c>
      <c r="U44" s="26" t="n">
        <f aca="false">VALUE(MID(N44,Q44+2,90))</f>
        <v>0</v>
      </c>
      <c r="V44" s="27" t="n">
        <f aca="false">DATE(2017,10,MID(T44,7,2))</f>
        <v>43019</v>
      </c>
    </row>
    <row r="45" customFormat="false" ht="14.25" hidden="false" customHeight="false" outlineLevel="0" collapsed="false">
      <c r="A45" s="23" t="n">
        <f aca="false">A44+1</f>
        <v>41</v>
      </c>
      <c r="B45" s="14" t="s">
        <v>59</v>
      </c>
      <c r="C45" s="21" t="n">
        <f aca="false">CODE(RIGHT(B45,1))</f>
        <v>31</v>
      </c>
      <c r="D45" s="14" t="str">
        <f aca="false">CLEAN(B45)</f>
        <v>////PR:Books_____SP:Carol20171015   $754   </v>
      </c>
      <c r="E45" s="21" t="n">
        <f aca="false">CODE(RIGHT(D45,1))</f>
        <v>32</v>
      </c>
      <c r="F45" s="14" t="str">
        <f aca="false">SUBSTITUTE(D45,_xlfn.UNICHAR(160)," ")</f>
        <v>////PR:Books_____SP:Carol20171015   $754   </v>
      </c>
      <c r="G45" s="14" t="str">
        <f aca="false">SUBSTITUTE(F45,"/","")</f>
        <v>PR:Books_____SP:Carol20171015   $754   </v>
      </c>
      <c r="H45" s="14" t="str">
        <f aca="false">SUBSTITUTE(G45,"_"," ")</f>
        <v>PR:Books     SP:Carol20171015   $754   </v>
      </c>
      <c r="I45" s="14" t="str">
        <f aca="false">TRIM(H45)</f>
        <v>PR:Books SP:Carol20171015 $754</v>
      </c>
      <c r="J45" s="21" t="n">
        <f aca="false">LEN(I45)</f>
        <v>30</v>
      </c>
      <c r="K45" s="21" t="n">
        <f aca="false">CODE(RIGHT(I45,1))</f>
        <v>52</v>
      </c>
      <c r="L45" s="14" t="str">
        <f aca="false">SUBSTITUTE(I45,"PR:","")</f>
        <v>Books SP:Carol20171015 $754</v>
      </c>
      <c r="M45" s="14" t="str">
        <f aca="false">SUBSTITUTE(L45,"SP:","")</f>
        <v>Books Carol20171015 $754</v>
      </c>
      <c r="N45" s="15" t="str">
        <f aca="false">SUBSTITUTE(M45,"201710"," 201710")</f>
        <v>Books Carol 20171015 $754</v>
      </c>
      <c r="O45" s="21" t="n">
        <f aca="false">FIND(" ",N45)</f>
        <v>6</v>
      </c>
      <c r="P45" s="21" t="n">
        <f aca="false">FIND(" ",N45,O45+1)</f>
        <v>12</v>
      </c>
      <c r="Q45" s="21" t="n">
        <f aca="false">FIND(" ",N45,P45+1)</f>
        <v>21</v>
      </c>
      <c r="R45" s="26" t="str">
        <f aca="false">LEFT(N45,O45-1)</f>
        <v>Books</v>
      </c>
      <c r="S45" s="26" t="str">
        <f aca="false">MID(N45,O45+1,P45-O45-1)</f>
        <v>Carol</v>
      </c>
      <c r="T45" s="26" t="str">
        <f aca="false">MID(N45,P45+1,Q45-P45-1)</f>
        <v>20171015</v>
      </c>
      <c r="U45" s="26" t="n">
        <f aca="false">VALUE(MID(N45,Q45+2,90))</f>
        <v>754</v>
      </c>
      <c r="V45" s="27" t="n">
        <f aca="false">DATE(2017,10,MID(T45,7,2))</f>
        <v>43023</v>
      </c>
    </row>
    <row r="46" customFormat="false" ht="14.25" hidden="false" customHeight="false" outlineLevel="0" collapsed="false">
      <c r="A46" s="23" t="n">
        <f aca="false">A45+1</f>
        <v>42</v>
      </c>
      <c r="B46" s="14" t="s">
        <v>60</v>
      </c>
      <c r="C46" s="21" t="n">
        <f aca="false">CODE(RIGHT(B46,1))</f>
        <v>29</v>
      </c>
      <c r="D46" s="14" t="str">
        <f aca="false">CLEAN(B46)</f>
        <v>/////PR:Music____SP:Carol20171012  $0  </v>
      </c>
      <c r="E46" s="21" t="n">
        <f aca="false">CODE(RIGHT(D46,1))</f>
        <v>32</v>
      </c>
      <c r="F46" s="14" t="str">
        <f aca="false">SUBSTITUTE(D46,_xlfn.UNICHAR(160)," ")</f>
        <v>/////PR:Music____SP:Carol20171012  $0  </v>
      </c>
      <c r="G46" s="14" t="str">
        <f aca="false">SUBSTITUTE(F46,"/","")</f>
        <v>PR:Music____SP:Carol20171012  $0  </v>
      </c>
      <c r="H46" s="14" t="str">
        <f aca="false">SUBSTITUTE(G46,"_"," ")</f>
        <v>PR:Music    SP:Carol20171012  $0  </v>
      </c>
      <c r="I46" s="14" t="str">
        <f aca="false">TRIM(H46)</f>
        <v>PR:Music SP:Carol20171012 $0</v>
      </c>
      <c r="J46" s="21" t="n">
        <f aca="false">LEN(I46)</f>
        <v>28</v>
      </c>
      <c r="K46" s="21" t="n">
        <f aca="false">CODE(RIGHT(I46,1))</f>
        <v>48</v>
      </c>
      <c r="L46" s="14" t="str">
        <f aca="false">SUBSTITUTE(I46,"PR:","")</f>
        <v>Music SP:Carol20171012 $0</v>
      </c>
      <c r="M46" s="14" t="str">
        <f aca="false">SUBSTITUTE(L46,"SP:","")</f>
        <v>Music Carol20171012 $0</v>
      </c>
      <c r="N46" s="15" t="str">
        <f aca="false">SUBSTITUTE(M46,"201710"," 201710")</f>
        <v>Music Carol 20171012 $0</v>
      </c>
      <c r="O46" s="21" t="n">
        <f aca="false">FIND(" ",N46)</f>
        <v>6</v>
      </c>
      <c r="P46" s="21" t="n">
        <f aca="false">FIND(" ",N46,O46+1)</f>
        <v>12</v>
      </c>
      <c r="Q46" s="21" t="n">
        <f aca="false">FIND(" ",N46,P46+1)</f>
        <v>21</v>
      </c>
      <c r="R46" s="26" t="str">
        <f aca="false">LEFT(N46,O46-1)</f>
        <v>Music</v>
      </c>
      <c r="S46" s="26" t="str">
        <f aca="false">MID(N46,O46+1,P46-O46-1)</f>
        <v>Carol</v>
      </c>
      <c r="T46" s="26" t="str">
        <f aca="false">MID(N46,P46+1,Q46-P46-1)</f>
        <v>20171012</v>
      </c>
      <c r="U46" s="26" t="n">
        <f aca="false">VALUE(MID(N46,Q46+2,90))</f>
        <v>0</v>
      </c>
      <c r="V46" s="27" t="n">
        <f aca="false">DATE(2017,10,MID(T46,7,2))</f>
        <v>43020</v>
      </c>
    </row>
    <row r="47" customFormat="false" ht="14.25" hidden="false" customHeight="false" outlineLevel="0" collapsed="false">
      <c r="A47" s="23" t="n">
        <f aca="false">A46+1</f>
        <v>43</v>
      </c>
      <c r="B47" s="14" t="s">
        <v>61</v>
      </c>
      <c r="C47" s="21" t="n">
        <f aca="false">CODE(RIGHT(B47,1))</f>
        <v>31</v>
      </c>
      <c r="D47" s="14" t="str">
        <f aca="false">CLEAN(B47)</f>
        <v>///PR:Clothing_SP:Barney2017109  $1944    </v>
      </c>
      <c r="E47" s="21" t="n">
        <f aca="false">CODE(RIGHT(D47,1))</f>
        <v>32</v>
      </c>
      <c r="F47" s="14" t="str">
        <f aca="false">SUBSTITUTE(D47,_xlfn.UNICHAR(160)," ")</f>
        <v>///PR:Clothing_SP:Barney2017109  $1944    </v>
      </c>
      <c r="G47" s="14" t="str">
        <f aca="false">SUBSTITUTE(F47,"/","")</f>
        <v>PR:Clothing_SP:Barney2017109  $1944    </v>
      </c>
      <c r="H47" s="14" t="str">
        <f aca="false">SUBSTITUTE(G47,"_"," ")</f>
        <v>PR:Clothing SP:Barney2017109  $1944    </v>
      </c>
      <c r="I47" s="14" t="str">
        <f aca="false">TRIM(H47)</f>
        <v>PR:Clothing SP:Barney2017109 $1944</v>
      </c>
      <c r="J47" s="21" t="n">
        <f aca="false">LEN(I47)</f>
        <v>34</v>
      </c>
      <c r="K47" s="21" t="n">
        <f aca="false">CODE(RIGHT(I47,1))</f>
        <v>52</v>
      </c>
      <c r="L47" s="14" t="str">
        <f aca="false">SUBSTITUTE(I47,"PR:","")</f>
        <v>Clothing SP:Barney2017109 $1944</v>
      </c>
      <c r="M47" s="14" t="str">
        <f aca="false">SUBSTITUTE(L47,"SP:","")</f>
        <v>Clothing Barney2017109 $1944</v>
      </c>
      <c r="N47" s="15" t="str">
        <f aca="false">SUBSTITUTE(M47,"201710"," 201710")</f>
        <v>Clothing Barney 2017109 $1944</v>
      </c>
      <c r="O47" s="21" t="n">
        <f aca="false">FIND(" ",N47)</f>
        <v>9</v>
      </c>
      <c r="P47" s="21" t="n">
        <f aca="false">FIND(" ",N47,O47+1)</f>
        <v>16</v>
      </c>
      <c r="Q47" s="21" t="n">
        <f aca="false">FIND(" ",N47,P47+1)</f>
        <v>24</v>
      </c>
      <c r="R47" s="26" t="str">
        <f aca="false">LEFT(N47,O47-1)</f>
        <v>Clothing</v>
      </c>
      <c r="S47" s="26" t="str">
        <f aca="false">MID(N47,O47+1,P47-O47-1)</f>
        <v>Barney</v>
      </c>
      <c r="T47" s="26" t="str">
        <f aca="false">MID(N47,P47+1,Q47-P47-1)</f>
        <v>2017109</v>
      </c>
      <c r="U47" s="26" t="n">
        <f aca="false">VALUE(MID(N47,Q47+2,90))</f>
        <v>1944</v>
      </c>
      <c r="V47" s="27" t="n">
        <f aca="false">DATE(2017,10,MID(T47,7,2))</f>
        <v>43017</v>
      </c>
    </row>
    <row r="48" customFormat="false" ht="14.25" hidden="false" customHeight="false" outlineLevel="0" collapsed="false">
      <c r="A48" s="23" t="n">
        <f aca="false">A47+1</f>
        <v>44</v>
      </c>
      <c r="B48" s="14" t="s">
        <v>62</v>
      </c>
      <c r="C48" s="21" t="n">
        <f aca="false">CODE(RIGHT(B48,1))</f>
        <v>29</v>
      </c>
      <c r="D48" s="14" t="str">
        <f aca="false">CLEAN(B48)</f>
        <v>/PR:Clothing__SP:Carol20171014     $808   </v>
      </c>
      <c r="E48" s="21" t="n">
        <f aca="false">CODE(RIGHT(D48,1))</f>
        <v>32</v>
      </c>
      <c r="F48" s="14" t="str">
        <f aca="false">SUBSTITUTE(D48,_xlfn.UNICHAR(160)," ")</f>
        <v>/PR:Clothing__SP:Carol20171014     $808   </v>
      </c>
      <c r="G48" s="14" t="str">
        <f aca="false">SUBSTITUTE(F48,"/","")</f>
        <v>PR:Clothing__SP:Carol20171014     $808   </v>
      </c>
      <c r="H48" s="14" t="str">
        <f aca="false">SUBSTITUTE(G48,"_"," ")</f>
        <v>PR:Clothing  SP:Carol20171014     $808   </v>
      </c>
      <c r="I48" s="14" t="str">
        <f aca="false">TRIM(H48)</f>
        <v>PR:Clothing SP:Carol20171014 $808</v>
      </c>
      <c r="J48" s="21" t="n">
        <f aca="false">LEN(I48)</f>
        <v>33</v>
      </c>
      <c r="K48" s="21" t="n">
        <f aca="false">CODE(RIGHT(I48,1))</f>
        <v>56</v>
      </c>
      <c r="L48" s="14" t="str">
        <f aca="false">SUBSTITUTE(I48,"PR:","")</f>
        <v>Clothing SP:Carol20171014 $808</v>
      </c>
      <c r="M48" s="14" t="str">
        <f aca="false">SUBSTITUTE(L48,"SP:","")</f>
        <v>Clothing Carol20171014 $808</v>
      </c>
      <c r="N48" s="15" t="str">
        <f aca="false">SUBSTITUTE(M48,"201710"," 201710")</f>
        <v>Clothing Carol 20171014 $808</v>
      </c>
      <c r="O48" s="21" t="n">
        <f aca="false">FIND(" ",N48)</f>
        <v>9</v>
      </c>
      <c r="P48" s="21" t="n">
        <f aca="false">FIND(" ",N48,O48+1)</f>
        <v>15</v>
      </c>
      <c r="Q48" s="21" t="n">
        <f aca="false">FIND(" ",N48,P48+1)</f>
        <v>24</v>
      </c>
      <c r="R48" s="26" t="str">
        <f aca="false">LEFT(N48,O48-1)</f>
        <v>Clothing</v>
      </c>
      <c r="S48" s="26" t="str">
        <f aca="false">MID(N48,O48+1,P48-O48-1)</f>
        <v>Carol</v>
      </c>
      <c r="T48" s="26" t="str">
        <f aca="false">MID(N48,P48+1,Q48-P48-1)</f>
        <v>20171014</v>
      </c>
      <c r="U48" s="26" t="n">
        <f aca="false">VALUE(MID(N48,Q48+2,90))</f>
        <v>808</v>
      </c>
      <c r="V48" s="27" t="n">
        <f aca="false">DATE(2017,10,MID(T48,7,2))</f>
        <v>43022</v>
      </c>
    </row>
    <row r="49" customFormat="false" ht="14.25" hidden="false" customHeight="false" outlineLevel="0" collapsed="false">
      <c r="A49" s="23" t="n">
        <f aca="false">A48+1</f>
        <v>45</v>
      </c>
      <c r="B49" s="14" t="s">
        <v>63</v>
      </c>
      <c r="C49" s="21" t="n">
        <f aca="false">CODE(RIGHT(B49,1))</f>
        <v>30</v>
      </c>
      <c r="D49" s="14" t="str">
        <f aca="false">CLEAN(B49)</f>
        <v>/////PR:Clothing___SP:Carol20171010    $1732   </v>
      </c>
      <c r="E49" s="21" t="n">
        <f aca="false">CODE(RIGHT(D49,1))</f>
        <v>32</v>
      </c>
      <c r="F49" s="14" t="str">
        <f aca="false">SUBSTITUTE(D49,_xlfn.UNICHAR(160)," ")</f>
        <v>/////PR:Clothing___SP:Carol20171010    $1732   </v>
      </c>
      <c r="G49" s="14" t="str">
        <f aca="false">SUBSTITUTE(F49,"/","")</f>
        <v>PR:Clothing___SP:Carol20171010    $1732   </v>
      </c>
      <c r="H49" s="14" t="str">
        <f aca="false">SUBSTITUTE(G49,"_"," ")</f>
        <v>PR:Clothing   SP:Carol20171010    $1732   </v>
      </c>
      <c r="I49" s="14" t="str">
        <f aca="false">TRIM(H49)</f>
        <v>PR:Clothing SP:Carol20171010 $1732</v>
      </c>
      <c r="J49" s="21" t="n">
        <f aca="false">LEN(I49)</f>
        <v>34</v>
      </c>
      <c r="K49" s="21" t="n">
        <f aca="false">CODE(RIGHT(I49,1))</f>
        <v>50</v>
      </c>
      <c r="L49" s="14" t="str">
        <f aca="false">SUBSTITUTE(I49,"PR:","")</f>
        <v>Clothing SP:Carol20171010 $1732</v>
      </c>
      <c r="M49" s="14" t="str">
        <f aca="false">SUBSTITUTE(L49,"SP:","")</f>
        <v>Clothing Carol20171010 $1732</v>
      </c>
      <c r="N49" s="15" t="str">
        <f aca="false">SUBSTITUTE(M49,"201710"," 201710")</f>
        <v>Clothing Carol 20171010 $1732</v>
      </c>
      <c r="O49" s="21" t="n">
        <f aca="false">FIND(" ",N49)</f>
        <v>9</v>
      </c>
      <c r="P49" s="21" t="n">
        <f aca="false">FIND(" ",N49,O49+1)</f>
        <v>15</v>
      </c>
      <c r="Q49" s="21" t="n">
        <f aca="false">FIND(" ",N49,P49+1)</f>
        <v>24</v>
      </c>
      <c r="R49" s="26" t="str">
        <f aca="false">LEFT(N49,O49-1)</f>
        <v>Clothing</v>
      </c>
      <c r="S49" s="26" t="str">
        <f aca="false">MID(N49,O49+1,P49-O49-1)</f>
        <v>Carol</v>
      </c>
      <c r="T49" s="26" t="str">
        <f aca="false">MID(N49,P49+1,Q49-P49-1)</f>
        <v>20171010</v>
      </c>
      <c r="U49" s="26" t="n">
        <f aca="false">VALUE(MID(N49,Q49+2,90))</f>
        <v>1732</v>
      </c>
      <c r="V49" s="27" t="n">
        <f aca="false">DATE(2017,10,MID(T49,7,2))</f>
        <v>43018</v>
      </c>
    </row>
    <row r="50" customFormat="false" ht="14.25" hidden="false" customHeight="false" outlineLevel="0" collapsed="false">
      <c r="A50" s="23" t="n">
        <f aca="false">A49+1</f>
        <v>46</v>
      </c>
      <c r="B50" s="14" t="s">
        <v>64</v>
      </c>
      <c r="C50" s="21" t="n">
        <f aca="false">CODE(RIGHT(B50,1))</f>
        <v>28</v>
      </c>
      <c r="D50" s="14" t="str">
        <f aca="false">CLEAN(B50)</f>
        <v>//PR:Games____SP:Barney20171018 $2493  </v>
      </c>
      <c r="E50" s="21" t="n">
        <f aca="false">CODE(RIGHT(D50,1))</f>
        <v>32</v>
      </c>
      <c r="F50" s="14" t="str">
        <f aca="false">SUBSTITUTE(D50,_xlfn.UNICHAR(160)," ")</f>
        <v>//PR:Games____SP:Barney20171018 $2493  </v>
      </c>
      <c r="G50" s="14" t="str">
        <f aca="false">SUBSTITUTE(F50,"/","")</f>
        <v>PR:Games____SP:Barney20171018 $2493  </v>
      </c>
      <c r="H50" s="14" t="str">
        <f aca="false">SUBSTITUTE(G50,"_"," ")</f>
        <v>PR:Games    SP:Barney20171018 $2493  </v>
      </c>
      <c r="I50" s="14" t="str">
        <f aca="false">TRIM(H50)</f>
        <v>PR:Games SP:Barney20171018 $2493</v>
      </c>
      <c r="J50" s="21" t="n">
        <f aca="false">LEN(I50)</f>
        <v>32</v>
      </c>
      <c r="K50" s="21" t="n">
        <f aca="false">CODE(RIGHT(I50,1))</f>
        <v>51</v>
      </c>
      <c r="L50" s="14" t="str">
        <f aca="false">SUBSTITUTE(I50,"PR:","")</f>
        <v>Games SP:Barney20171018 $2493</v>
      </c>
      <c r="M50" s="14" t="str">
        <f aca="false">SUBSTITUTE(L50,"SP:","")</f>
        <v>Games Barney20171018 $2493</v>
      </c>
      <c r="N50" s="15" t="str">
        <f aca="false">SUBSTITUTE(M50,"201710"," 201710")</f>
        <v>Games Barney 20171018 $2493</v>
      </c>
      <c r="O50" s="21" t="n">
        <f aca="false">FIND(" ",N50)</f>
        <v>6</v>
      </c>
      <c r="P50" s="21" t="n">
        <f aca="false">FIND(" ",N50,O50+1)</f>
        <v>13</v>
      </c>
      <c r="Q50" s="21" t="n">
        <f aca="false">FIND(" ",N50,P50+1)</f>
        <v>22</v>
      </c>
      <c r="R50" s="26" t="str">
        <f aca="false">LEFT(N50,O50-1)</f>
        <v>Games</v>
      </c>
      <c r="S50" s="26" t="str">
        <f aca="false">MID(N50,O50+1,P50-O50-1)</f>
        <v>Barney</v>
      </c>
      <c r="T50" s="26" t="str">
        <f aca="false">MID(N50,P50+1,Q50-P50-1)</f>
        <v>20171018</v>
      </c>
      <c r="U50" s="26" t="n">
        <f aca="false">VALUE(MID(N50,Q50+2,90))</f>
        <v>2493</v>
      </c>
      <c r="V50" s="27" t="n">
        <f aca="false">DATE(2017,10,MID(T50,7,2))</f>
        <v>43026</v>
      </c>
    </row>
    <row r="51" customFormat="false" ht="14.25" hidden="false" customHeight="false" outlineLevel="0" collapsed="false">
      <c r="A51" s="23" t="n">
        <f aca="false">A50+1</f>
        <v>47</v>
      </c>
      <c r="B51" s="14" t="s">
        <v>65</v>
      </c>
      <c r="C51" s="21" t="n">
        <f aca="false">CODE(RIGHT(B51,1))</f>
        <v>30</v>
      </c>
      <c r="D51" s="14" t="str">
        <f aca="false">CLEAN(B51)</f>
        <v>/PR:Music_SP:Barney2017109    $0  </v>
      </c>
      <c r="E51" s="21" t="n">
        <f aca="false">CODE(RIGHT(D51,1))</f>
        <v>32</v>
      </c>
      <c r="F51" s="14" t="str">
        <f aca="false">SUBSTITUTE(D51,_xlfn.UNICHAR(160)," ")</f>
        <v>/PR:Music_SP:Barney2017109    $0  </v>
      </c>
      <c r="G51" s="14" t="str">
        <f aca="false">SUBSTITUTE(F51,"/","")</f>
        <v>PR:Music_SP:Barney2017109    $0  </v>
      </c>
      <c r="H51" s="14" t="str">
        <f aca="false">SUBSTITUTE(G51,"_"," ")</f>
        <v>PR:Music SP:Barney2017109    $0  </v>
      </c>
      <c r="I51" s="14" t="str">
        <f aca="false">TRIM(H51)</f>
        <v>PR:Music SP:Barney2017109 $0</v>
      </c>
      <c r="J51" s="21" t="n">
        <f aca="false">LEN(I51)</f>
        <v>28</v>
      </c>
      <c r="K51" s="21" t="n">
        <f aca="false">CODE(RIGHT(I51,1))</f>
        <v>48</v>
      </c>
      <c r="L51" s="14" t="str">
        <f aca="false">SUBSTITUTE(I51,"PR:","")</f>
        <v>Music SP:Barney2017109 $0</v>
      </c>
      <c r="M51" s="14" t="str">
        <f aca="false">SUBSTITUTE(L51,"SP:","")</f>
        <v>Music Barney2017109 $0</v>
      </c>
      <c r="N51" s="15" t="str">
        <f aca="false">SUBSTITUTE(M51,"201710"," 201710")</f>
        <v>Music Barney 2017109 $0</v>
      </c>
      <c r="O51" s="21" t="n">
        <f aca="false">FIND(" ",N51)</f>
        <v>6</v>
      </c>
      <c r="P51" s="21" t="n">
        <f aca="false">FIND(" ",N51,O51+1)</f>
        <v>13</v>
      </c>
      <c r="Q51" s="21" t="n">
        <f aca="false">FIND(" ",N51,P51+1)</f>
        <v>21</v>
      </c>
      <c r="R51" s="26" t="str">
        <f aca="false">LEFT(N51,O51-1)</f>
        <v>Music</v>
      </c>
      <c r="S51" s="26" t="str">
        <f aca="false">MID(N51,O51+1,P51-O51-1)</f>
        <v>Barney</v>
      </c>
      <c r="T51" s="26" t="str">
        <f aca="false">MID(N51,P51+1,Q51-P51-1)</f>
        <v>2017109</v>
      </c>
      <c r="U51" s="26" t="n">
        <f aca="false">VALUE(MID(N51,Q51+2,90))</f>
        <v>0</v>
      </c>
      <c r="V51" s="27" t="n">
        <f aca="false">DATE(2017,10,MID(T51,7,2))</f>
        <v>43017</v>
      </c>
    </row>
    <row r="52" customFormat="false" ht="14.25" hidden="false" customHeight="false" outlineLevel="0" collapsed="false">
      <c r="A52" s="23" t="n">
        <f aca="false">A51+1</f>
        <v>48</v>
      </c>
      <c r="B52" s="14" t="s">
        <v>66</v>
      </c>
      <c r="C52" s="21" t="n">
        <f aca="false">CODE(RIGHT(B52,1))</f>
        <v>30</v>
      </c>
      <c r="D52" s="14" t="str">
        <f aca="false">CLEAN(B52)</f>
        <v>/////PR:Music___SP:Barney20171027    $0     </v>
      </c>
      <c r="E52" s="21" t="n">
        <f aca="false">CODE(RIGHT(D52,1))</f>
        <v>32</v>
      </c>
      <c r="F52" s="14" t="str">
        <f aca="false">SUBSTITUTE(D52,_xlfn.UNICHAR(160)," ")</f>
        <v>/////PR:Music___SP:Barney20171027    $0     </v>
      </c>
      <c r="G52" s="14" t="str">
        <f aca="false">SUBSTITUTE(F52,"/","")</f>
        <v>PR:Music___SP:Barney20171027    $0     </v>
      </c>
      <c r="H52" s="14" t="str">
        <f aca="false">SUBSTITUTE(G52,"_"," ")</f>
        <v>PR:Music   SP:Barney20171027    $0     </v>
      </c>
      <c r="I52" s="14" t="str">
        <f aca="false">TRIM(H52)</f>
        <v>PR:Music SP:Barney20171027 $0</v>
      </c>
      <c r="J52" s="21" t="n">
        <f aca="false">LEN(I52)</f>
        <v>29</v>
      </c>
      <c r="K52" s="21" t="n">
        <f aca="false">CODE(RIGHT(I52,1))</f>
        <v>48</v>
      </c>
      <c r="L52" s="14" t="str">
        <f aca="false">SUBSTITUTE(I52,"PR:","")</f>
        <v>Music SP:Barney20171027 $0</v>
      </c>
      <c r="M52" s="14" t="str">
        <f aca="false">SUBSTITUTE(L52,"SP:","")</f>
        <v>Music Barney20171027 $0</v>
      </c>
      <c r="N52" s="15" t="str">
        <f aca="false">SUBSTITUTE(M52,"201710"," 201710")</f>
        <v>Music Barney 20171027 $0</v>
      </c>
      <c r="O52" s="21" t="n">
        <f aca="false">FIND(" ",N52)</f>
        <v>6</v>
      </c>
      <c r="P52" s="21" t="n">
        <f aca="false">FIND(" ",N52,O52+1)</f>
        <v>13</v>
      </c>
      <c r="Q52" s="21" t="n">
        <f aca="false">FIND(" ",N52,P52+1)</f>
        <v>22</v>
      </c>
      <c r="R52" s="26" t="str">
        <f aca="false">LEFT(N52,O52-1)</f>
        <v>Music</v>
      </c>
      <c r="S52" s="26" t="str">
        <f aca="false">MID(N52,O52+1,P52-O52-1)</f>
        <v>Barney</v>
      </c>
      <c r="T52" s="26" t="str">
        <f aca="false">MID(N52,P52+1,Q52-P52-1)</f>
        <v>20171027</v>
      </c>
      <c r="U52" s="26" t="n">
        <f aca="false">VALUE(MID(N52,Q52+2,90))</f>
        <v>0</v>
      </c>
      <c r="V52" s="27" t="n">
        <f aca="false">DATE(2017,10,MID(T52,7,2))</f>
        <v>43035</v>
      </c>
    </row>
    <row r="53" customFormat="false" ht="14.25" hidden="false" customHeight="false" outlineLevel="0" collapsed="false">
      <c r="A53" s="23" t="n">
        <f aca="false">A52+1</f>
        <v>49</v>
      </c>
      <c r="B53" s="14" t="s">
        <v>67</v>
      </c>
      <c r="C53" s="21" t="n">
        <f aca="false">CODE(RIGHT(B53,1))</f>
        <v>28</v>
      </c>
      <c r="D53" s="14" t="str">
        <f aca="false">CLEAN(B53)</f>
        <v>/////PR:Games___SP:Carol20171024     $1893  </v>
      </c>
      <c r="E53" s="21" t="n">
        <f aca="false">CODE(RIGHT(D53,1))</f>
        <v>32</v>
      </c>
      <c r="F53" s="14" t="str">
        <f aca="false">SUBSTITUTE(D53,_xlfn.UNICHAR(160)," ")</f>
        <v>/////PR:Games___SP:Carol20171024     $1893  </v>
      </c>
      <c r="G53" s="14" t="str">
        <f aca="false">SUBSTITUTE(F53,"/","")</f>
        <v>PR:Games___SP:Carol20171024     $1893  </v>
      </c>
      <c r="H53" s="14" t="str">
        <f aca="false">SUBSTITUTE(G53,"_"," ")</f>
        <v>PR:Games   SP:Carol20171024     $1893  </v>
      </c>
      <c r="I53" s="14" t="str">
        <f aca="false">TRIM(H53)</f>
        <v>PR:Games SP:Carol20171024 $1893</v>
      </c>
      <c r="J53" s="21" t="n">
        <f aca="false">LEN(I53)</f>
        <v>31</v>
      </c>
      <c r="K53" s="21" t="n">
        <f aca="false">CODE(RIGHT(I53,1))</f>
        <v>51</v>
      </c>
      <c r="L53" s="14" t="str">
        <f aca="false">SUBSTITUTE(I53,"PR:","")</f>
        <v>Games SP:Carol20171024 $1893</v>
      </c>
      <c r="M53" s="14" t="str">
        <f aca="false">SUBSTITUTE(L53,"SP:","")</f>
        <v>Games Carol20171024 $1893</v>
      </c>
      <c r="N53" s="15" t="str">
        <f aca="false">SUBSTITUTE(M53,"201710"," 201710")</f>
        <v>Games Carol 20171024 $1893</v>
      </c>
      <c r="O53" s="21" t="n">
        <f aca="false">FIND(" ",N53)</f>
        <v>6</v>
      </c>
      <c r="P53" s="21" t="n">
        <f aca="false">FIND(" ",N53,O53+1)</f>
        <v>12</v>
      </c>
      <c r="Q53" s="21" t="n">
        <f aca="false">FIND(" ",N53,P53+1)</f>
        <v>21</v>
      </c>
      <c r="R53" s="26" t="str">
        <f aca="false">LEFT(N53,O53-1)</f>
        <v>Games</v>
      </c>
      <c r="S53" s="26" t="str">
        <f aca="false">MID(N53,O53+1,P53-O53-1)</f>
        <v>Carol</v>
      </c>
      <c r="T53" s="26" t="str">
        <f aca="false">MID(N53,P53+1,Q53-P53-1)</f>
        <v>20171024</v>
      </c>
      <c r="U53" s="26" t="n">
        <f aca="false">VALUE(MID(N53,Q53+2,90))</f>
        <v>1893</v>
      </c>
      <c r="V53" s="27" t="n">
        <f aca="false">DATE(2017,10,MID(T53,7,2))</f>
        <v>43032</v>
      </c>
    </row>
    <row r="54" customFormat="false" ht="14.25" hidden="false" customHeight="false" outlineLevel="0" collapsed="false">
      <c r="A54" s="23" t="n">
        <f aca="false">A53+1</f>
        <v>50</v>
      </c>
      <c r="B54" s="14" t="s">
        <v>68</v>
      </c>
      <c r="C54" s="21" t="n">
        <f aca="false">CODE(RIGHT(B54,1))</f>
        <v>28</v>
      </c>
      <c r="D54" s="14" t="str">
        <f aca="false">CLEAN(B54)</f>
        <v>////PR:Music_SP:David20171027    $1303    </v>
      </c>
      <c r="E54" s="21" t="n">
        <f aca="false">CODE(RIGHT(D54,1))</f>
        <v>32</v>
      </c>
      <c r="F54" s="14" t="str">
        <f aca="false">SUBSTITUTE(D54,_xlfn.UNICHAR(160)," ")</f>
        <v>////PR:Music_SP:David20171027    $1303    </v>
      </c>
      <c r="G54" s="14" t="str">
        <f aca="false">SUBSTITUTE(F54,"/","")</f>
        <v>PR:Music_SP:David20171027    $1303    </v>
      </c>
      <c r="H54" s="14" t="str">
        <f aca="false">SUBSTITUTE(G54,"_"," ")</f>
        <v>PR:Music SP:David20171027    $1303    </v>
      </c>
      <c r="I54" s="14" t="str">
        <f aca="false">TRIM(H54)</f>
        <v>PR:Music SP:David20171027 $1303</v>
      </c>
      <c r="J54" s="21" t="n">
        <f aca="false">LEN(I54)</f>
        <v>31</v>
      </c>
      <c r="K54" s="21" t="n">
        <f aca="false">CODE(RIGHT(I54,1))</f>
        <v>51</v>
      </c>
      <c r="L54" s="14" t="str">
        <f aca="false">SUBSTITUTE(I54,"PR:","")</f>
        <v>Music SP:David20171027 $1303</v>
      </c>
      <c r="M54" s="14" t="str">
        <f aca="false">SUBSTITUTE(L54,"SP:","")</f>
        <v>Music David20171027 $1303</v>
      </c>
      <c r="N54" s="15" t="str">
        <f aca="false">SUBSTITUTE(M54,"201710"," 201710")</f>
        <v>Music David 20171027 $1303</v>
      </c>
      <c r="O54" s="21" t="n">
        <f aca="false">FIND(" ",N54)</f>
        <v>6</v>
      </c>
      <c r="P54" s="21" t="n">
        <f aca="false">FIND(" ",N54,O54+1)</f>
        <v>12</v>
      </c>
      <c r="Q54" s="21" t="n">
        <f aca="false">FIND(" ",N54,P54+1)</f>
        <v>21</v>
      </c>
      <c r="R54" s="26" t="str">
        <f aca="false">LEFT(N54,O54-1)</f>
        <v>Music</v>
      </c>
      <c r="S54" s="26" t="str">
        <f aca="false">MID(N54,O54+1,P54-O54-1)</f>
        <v>David</v>
      </c>
      <c r="T54" s="26" t="str">
        <f aca="false">MID(N54,P54+1,Q54-P54-1)</f>
        <v>20171027</v>
      </c>
      <c r="U54" s="26" t="n">
        <f aca="false">VALUE(MID(N54,Q54+2,90))</f>
        <v>1303</v>
      </c>
      <c r="V54" s="27" t="n">
        <f aca="false">DATE(2017,10,MID(T54,7,2))</f>
        <v>43035</v>
      </c>
    </row>
    <row r="55" customFormat="false" ht="14.25" hidden="false" customHeight="false" outlineLevel="0" collapsed="false">
      <c r="A55" s="23" t="n">
        <f aca="false">A54+1</f>
        <v>51</v>
      </c>
      <c r="B55" s="14" t="s">
        <v>69</v>
      </c>
      <c r="C55" s="21" t="n">
        <f aca="false">CODE(RIGHT(B55,1))</f>
        <v>28</v>
      </c>
      <c r="D55" s="14" t="str">
        <f aca="false">CLEAN(B55)</f>
        <v>//PR:Clothing___SP:Alice2017105 $1991     </v>
      </c>
      <c r="E55" s="21" t="n">
        <f aca="false">CODE(RIGHT(D55,1))</f>
        <v>32</v>
      </c>
      <c r="F55" s="14" t="str">
        <f aca="false">SUBSTITUTE(D55,_xlfn.UNICHAR(160)," ")</f>
        <v>//PR:Clothing___SP:Alice2017105 $1991     </v>
      </c>
      <c r="G55" s="14" t="str">
        <f aca="false">SUBSTITUTE(F55,"/","")</f>
        <v>PR:Clothing___SP:Alice2017105 $1991     </v>
      </c>
      <c r="H55" s="14" t="str">
        <f aca="false">SUBSTITUTE(G55,"_"," ")</f>
        <v>PR:Clothing   SP:Alice2017105 $1991     </v>
      </c>
      <c r="I55" s="14" t="str">
        <f aca="false">TRIM(H55)</f>
        <v>PR:Clothing SP:Alice2017105 $1991</v>
      </c>
      <c r="J55" s="21" t="n">
        <f aca="false">LEN(I55)</f>
        <v>33</v>
      </c>
      <c r="K55" s="21" t="n">
        <f aca="false">CODE(RIGHT(I55,1))</f>
        <v>49</v>
      </c>
      <c r="L55" s="14" t="str">
        <f aca="false">SUBSTITUTE(I55,"PR:","")</f>
        <v>Clothing SP:Alice2017105 $1991</v>
      </c>
      <c r="M55" s="14" t="str">
        <f aca="false">SUBSTITUTE(L55,"SP:","")</f>
        <v>Clothing Alice2017105 $1991</v>
      </c>
      <c r="N55" s="15" t="str">
        <f aca="false">SUBSTITUTE(M55,"201710"," 201710")</f>
        <v>Clothing Alice 2017105 $1991</v>
      </c>
      <c r="O55" s="21" t="n">
        <f aca="false">FIND(" ",N55)</f>
        <v>9</v>
      </c>
      <c r="P55" s="21" t="n">
        <f aca="false">FIND(" ",N55,O55+1)</f>
        <v>15</v>
      </c>
      <c r="Q55" s="21" t="n">
        <f aca="false">FIND(" ",N55,P55+1)</f>
        <v>23</v>
      </c>
      <c r="R55" s="26" t="str">
        <f aca="false">LEFT(N55,O55-1)</f>
        <v>Clothing</v>
      </c>
      <c r="S55" s="26" t="str">
        <f aca="false">MID(N55,O55+1,P55-O55-1)</f>
        <v>Alice</v>
      </c>
      <c r="T55" s="26" t="str">
        <f aca="false">MID(N55,P55+1,Q55-P55-1)</f>
        <v>2017105</v>
      </c>
      <c r="U55" s="26" t="n">
        <f aca="false">VALUE(MID(N55,Q55+2,90))</f>
        <v>1991</v>
      </c>
      <c r="V55" s="27" t="n">
        <f aca="false">DATE(2017,10,MID(T55,7,2))</f>
        <v>43013</v>
      </c>
    </row>
    <row r="56" customFormat="false" ht="14.25" hidden="false" customHeight="false" outlineLevel="0" collapsed="false">
      <c r="A56" s="23" t="n">
        <f aca="false">A55+1</f>
        <v>52</v>
      </c>
      <c r="B56" s="14" t="s">
        <v>70</v>
      </c>
      <c r="C56" s="21" t="n">
        <f aca="false">CODE(RIGHT(B56,1))</f>
        <v>31</v>
      </c>
      <c r="D56" s="14" t="str">
        <f aca="false">CLEAN(B56)</f>
        <v>/PR:Music__SP:David20171026 $1288  </v>
      </c>
      <c r="E56" s="21" t="n">
        <f aca="false">CODE(RIGHT(D56,1))</f>
        <v>32</v>
      </c>
      <c r="F56" s="14" t="str">
        <f aca="false">SUBSTITUTE(D56,_xlfn.UNICHAR(160)," ")</f>
        <v>/PR:Music__SP:David20171026 $1288  </v>
      </c>
      <c r="G56" s="14" t="str">
        <f aca="false">SUBSTITUTE(F56,"/","")</f>
        <v>PR:Music__SP:David20171026 $1288  </v>
      </c>
      <c r="H56" s="14" t="str">
        <f aca="false">SUBSTITUTE(G56,"_"," ")</f>
        <v>PR:Music  SP:David20171026 $1288  </v>
      </c>
      <c r="I56" s="14" t="str">
        <f aca="false">TRIM(H56)</f>
        <v>PR:Music SP:David20171026 $1288</v>
      </c>
      <c r="J56" s="21" t="n">
        <f aca="false">LEN(I56)</f>
        <v>31</v>
      </c>
      <c r="K56" s="21" t="n">
        <f aca="false">CODE(RIGHT(I56,1))</f>
        <v>56</v>
      </c>
      <c r="L56" s="14" t="str">
        <f aca="false">SUBSTITUTE(I56,"PR:","")</f>
        <v>Music SP:David20171026 $1288</v>
      </c>
      <c r="M56" s="14" t="str">
        <f aca="false">SUBSTITUTE(L56,"SP:","")</f>
        <v>Music David20171026 $1288</v>
      </c>
      <c r="N56" s="15" t="str">
        <f aca="false">SUBSTITUTE(M56,"201710"," 201710")</f>
        <v>Music David 20171026 $1288</v>
      </c>
      <c r="O56" s="21" t="n">
        <f aca="false">FIND(" ",N56)</f>
        <v>6</v>
      </c>
      <c r="P56" s="21" t="n">
        <f aca="false">FIND(" ",N56,O56+1)</f>
        <v>12</v>
      </c>
      <c r="Q56" s="21" t="n">
        <f aca="false">FIND(" ",N56,P56+1)</f>
        <v>21</v>
      </c>
      <c r="R56" s="26" t="str">
        <f aca="false">LEFT(N56,O56-1)</f>
        <v>Music</v>
      </c>
      <c r="S56" s="26" t="str">
        <f aca="false">MID(N56,O56+1,P56-O56-1)</f>
        <v>David</v>
      </c>
      <c r="T56" s="26" t="str">
        <f aca="false">MID(N56,P56+1,Q56-P56-1)</f>
        <v>20171026</v>
      </c>
      <c r="U56" s="26" t="n">
        <f aca="false">VALUE(MID(N56,Q56+2,90))</f>
        <v>1288</v>
      </c>
      <c r="V56" s="27" t="n">
        <f aca="false">DATE(2017,10,MID(T56,7,2))</f>
        <v>43034</v>
      </c>
    </row>
    <row r="57" customFormat="false" ht="14.25" hidden="false" customHeight="false" outlineLevel="0" collapsed="false">
      <c r="A57" s="23" t="n">
        <f aca="false">A56+1</f>
        <v>53</v>
      </c>
      <c r="B57" s="14" t="s">
        <v>71</v>
      </c>
      <c r="C57" s="21" t="n">
        <f aca="false">CODE(RIGHT(B57,1))</f>
        <v>29</v>
      </c>
      <c r="D57" s="14" t="str">
        <f aca="false">CLEAN(B57)</f>
        <v>//PR:Clothing____SP:Alice20171018 $1757 </v>
      </c>
      <c r="E57" s="21" t="n">
        <f aca="false">CODE(RIGHT(D57,1))</f>
        <v>32</v>
      </c>
      <c r="F57" s="14" t="str">
        <f aca="false">SUBSTITUTE(D57,_xlfn.UNICHAR(160)," ")</f>
        <v>//PR:Clothing____SP:Alice20171018 $1757 </v>
      </c>
      <c r="G57" s="14" t="str">
        <f aca="false">SUBSTITUTE(F57,"/","")</f>
        <v>PR:Clothing____SP:Alice20171018 $1757 </v>
      </c>
      <c r="H57" s="14" t="str">
        <f aca="false">SUBSTITUTE(G57,"_"," ")</f>
        <v>PR:Clothing    SP:Alice20171018 $1757 </v>
      </c>
      <c r="I57" s="14" t="str">
        <f aca="false">TRIM(H57)</f>
        <v>PR:Clothing SP:Alice20171018 $1757</v>
      </c>
      <c r="J57" s="21" t="n">
        <f aca="false">LEN(I57)</f>
        <v>34</v>
      </c>
      <c r="K57" s="21" t="n">
        <f aca="false">CODE(RIGHT(I57,1))</f>
        <v>55</v>
      </c>
      <c r="L57" s="14" t="str">
        <f aca="false">SUBSTITUTE(I57,"PR:","")</f>
        <v>Clothing SP:Alice20171018 $1757</v>
      </c>
      <c r="M57" s="14" t="str">
        <f aca="false">SUBSTITUTE(L57,"SP:","")</f>
        <v>Clothing Alice20171018 $1757</v>
      </c>
      <c r="N57" s="15" t="str">
        <f aca="false">SUBSTITUTE(M57,"201710"," 201710")</f>
        <v>Clothing Alice 20171018 $1757</v>
      </c>
      <c r="O57" s="21" t="n">
        <f aca="false">FIND(" ",N57)</f>
        <v>9</v>
      </c>
      <c r="P57" s="21" t="n">
        <f aca="false">FIND(" ",N57,O57+1)</f>
        <v>15</v>
      </c>
      <c r="Q57" s="21" t="n">
        <f aca="false">FIND(" ",N57,P57+1)</f>
        <v>24</v>
      </c>
      <c r="R57" s="26" t="str">
        <f aca="false">LEFT(N57,O57-1)</f>
        <v>Clothing</v>
      </c>
      <c r="S57" s="26" t="str">
        <f aca="false">MID(N57,O57+1,P57-O57-1)</f>
        <v>Alice</v>
      </c>
      <c r="T57" s="26" t="str">
        <f aca="false">MID(N57,P57+1,Q57-P57-1)</f>
        <v>20171018</v>
      </c>
      <c r="U57" s="26" t="n">
        <f aca="false">VALUE(MID(N57,Q57+2,90))</f>
        <v>1757</v>
      </c>
      <c r="V57" s="27" t="n">
        <f aca="false">DATE(2017,10,MID(T57,7,2))</f>
        <v>43026</v>
      </c>
    </row>
    <row r="58" customFormat="false" ht="14.25" hidden="false" customHeight="false" outlineLevel="0" collapsed="false">
      <c r="A58" s="23" t="n">
        <f aca="false">A57+1</f>
        <v>54</v>
      </c>
      <c r="B58" s="14" t="s">
        <v>72</v>
      </c>
      <c r="C58" s="21" t="n">
        <f aca="false">CODE(RIGHT(B58,1))</f>
        <v>29</v>
      </c>
      <c r="D58" s="14" t="str">
        <f aca="false">CLEAN(B58)</f>
        <v>///PR:Games____SP:Alice20171025    $2406   </v>
      </c>
      <c r="E58" s="21" t="n">
        <f aca="false">CODE(RIGHT(D58,1))</f>
        <v>32</v>
      </c>
      <c r="F58" s="14" t="str">
        <f aca="false">SUBSTITUTE(D58,_xlfn.UNICHAR(160)," ")</f>
        <v>///PR:Games____SP:Alice20171025    $2406   </v>
      </c>
      <c r="G58" s="14" t="str">
        <f aca="false">SUBSTITUTE(F58,"/","")</f>
        <v>PR:Games____SP:Alice20171025    $2406   </v>
      </c>
      <c r="H58" s="14" t="str">
        <f aca="false">SUBSTITUTE(G58,"_"," ")</f>
        <v>PR:Games    SP:Alice20171025    $2406   </v>
      </c>
      <c r="I58" s="14" t="str">
        <f aca="false">TRIM(H58)</f>
        <v>PR:Games SP:Alice20171025 $2406</v>
      </c>
      <c r="J58" s="21" t="n">
        <f aca="false">LEN(I58)</f>
        <v>31</v>
      </c>
      <c r="K58" s="21" t="n">
        <f aca="false">CODE(RIGHT(I58,1))</f>
        <v>54</v>
      </c>
      <c r="L58" s="14" t="str">
        <f aca="false">SUBSTITUTE(I58,"PR:","")</f>
        <v>Games SP:Alice20171025 $2406</v>
      </c>
      <c r="M58" s="14" t="str">
        <f aca="false">SUBSTITUTE(L58,"SP:","")</f>
        <v>Games Alice20171025 $2406</v>
      </c>
      <c r="N58" s="15" t="str">
        <f aca="false">SUBSTITUTE(M58,"201710"," 201710")</f>
        <v>Games Alice 20171025 $2406</v>
      </c>
      <c r="O58" s="21" t="n">
        <f aca="false">FIND(" ",N58)</f>
        <v>6</v>
      </c>
      <c r="P58" s="21" t="n">
        <f aca="false">FIND(" ",N58,O58+1)</f>
        <v>12</v>
      </c>
      <c r="Q58" s="21" t="n">
        <f aca="false">FIND(" ",N58,P58+1)</f>
        <v>21</v>
      </c>
      <c r="R58" s="26" t="str">
        <f aca="false">LEFT(N58,O58-1)</f>
        <v>Games</v>
      </c>
      <c r="S58" s="26" t="str">
        <f aca="false">MID(N58,O58+1,P58-O58-1)</f>
        <v>Alice</v>
      </c>
      <c r="T58" s="26" t="str">
        <f aca="false">MID(N58,P58+1,Q58-P58-1)</f>
        <v>20171025</v>
      </c>
      <c r="U58" s="26" t="n">
        <f aca="false">VALUE(MID(N58,Q58+2,90))</f>
        <v>2406</v>
      </c>
      <c r="V58" s="27" t="n">
        <f aca="false">DATE(2017,10,MID(T58,7,2))</f>
        <v>43033</v>
      </c>
    </row>
    <row r="59" customFormat="false" ht="14.25" hidden="false" customHeight="false" outlineLevel="0" collapsed="false">
      <c r="A59" s="23" t="n">
        <f aca="false">A58+1</f>
        <v>55</v>
      </c>
      <c r="B59" s="14" t="s">
        <v>73</v>
      </c>
      <c r="C59" s="21" t="n">
        <f aca="false">CODE(RIGHT(B59,1))</f>
        <v>28</v>
      </c>
      <c r="D59" s="14" t="str">
        <f aca="false">CLEAN(B59)</f>
        <v>////PR:Music___SP:Barney20171031    $1155 </v>
      </c>
      <c r="E59" s="21" t="n">
        <f aca="false">CODE(RIGHT(D59,1))</f>
        <v>32</v>
      </c>
      <c r="F59" s="14" t="str">
        <f aca="false">SUBSTITUTE(D59,_xlfn.UNICHAR(160)," ")</f>
        <v>////PR:Music___SP:Barney20171031    $1155 </v>
      </c>
      <c r="G59" s="14" t="str">
        <f aca="false">SUBSTITUTE(F59,"/","")</f>
        <v>PR:Music___SP:Barney20171031    $1155 </v>
      </c>
      <c r="H59" s="14" t="str">
        <f aca="false">SUBSTITUTE(G59,"_"," ")</f>
        <v>PR:Music   SP:Barney20171031    $1155 </v>
      </c>
      <c r="I59" s="14" t="str">
        <f aca="false">TRIM(H59)</f>
        <v>PR:Music SP:Barney20171031 $1155</v>
      </c>
      <c r="J59" s="21" t="n">
        <f aca="false">LEN(I59)</f>
        <v>32</v>
      </c>
      <c r="K59" s="21" t="n">
        <f aca="false">CODE(RIGHT(I59,1))</f>
        <v>53</v>
      </c>
      <c r="L59" s="14" t="str">
        <f aca="false">SUBSTITUTE(I59,"PR:","")</f>
        <v>Music SP:Barney20171031 $1155</v>
      </c>
      <c r="M59" s="14" t="str">
        <f aca="false">SUBSTITUTE(L59,"SP:","")</f>
        <v>Music Barney20171031 $1155</v>
      </c>
      <c r="N59" s="15" t="str">
        <f aca="false">SUBSTITUTE(M59,"201710"," 201710")</f>
        <v>Music Barney 20171031 $1155</v>
      </c>
      <c r="O59" s="21" t="n">
        <f aca="false">FIND(" ",N59)</f>
        <v>6</v>
      </c>
      <c r="P59" s="21" t="n">
        <f aca="false">FIND(" ",N59,O59+1)</f>
        <v>13</v>
      </c>
      <c r="Q59" s="21" t="n">
        <f aca="false">FIND(" ",N59,P59+1)</f>
        <v>22</v>
      </c>
      <c r="R59" s="26" t="str">
        <f aca="false">LEFT(N59,O59-1)</f>
        <v>Music</v>
      </c>
      <c r="S59" s="26" t="str">
        <f aca="false">MID(N59,O59+1,P59-O59-1)</f>
        <v>Barney</v>
      </c>
      <c r="T59" s="26" t="str">
        <f aca="false">MID(N59,P59+1,Q59-P59-1)</f>
        <v>20171031</v>
      </c>
      <c r="U59" s="26" t="n">
        <f aca="false">VALUE(MID(N59,Q59+2,90))</f>
        <v>1155</v>
      </c>
      <c r="V59" s="27" t="n">
        <f aca="false">DATE(2017,10,MID(T59,7,2))</f>
        <v>43039</v>
      </c>
    </row>
    <row r="60" customFormat="false" ht="14.25" hidden="false" customHeight="false" outlineLevel="0" collapsed="false">
      <c r="A60" s="23" t="n">
        <f aca="false">A59+1</f>
        <v>56</v>
      </c>
      <c r="B60" s="14" t="s">
        <v>74</v>
      </c>
      <c r="C60" s="21" t="n">
        <f aca="false">CODE(RIGHT(B60,1))</f>
        <v>28</v>
      </c>
      <c r="D60" s="14" t="str">
        <f aca="false">CLEAN(B60)</f>
        <v>/////PR:Games_SP:Carol20171020  $1107    </v>
      </c>
      <c r="E60" s="21" t="n">
        <f aca="false">CODE(RIGHT(D60,1))</f>
        <v>32</v>
      </c>
      <c r="F60" s="14" t="str">
        <f aca="false">SUBSTITUTE(D60,_xlfn.UNICHAR(160)," ")</f>
        <v>/////PR:Games_SP:Carol20171020  $1107    </v>
      </c>
      <c r="G60" s="14" t="str">
        <f aca="false">SUBSTITUTE(F60,"/","")</f>
        <v>PR:Games_SP:Carol20171020  $1107    </v>
      </c>
      <c r="H60" s="14" t="str">
        <f aca="false">SUBSTITUTE(G60,"_"," ")</f>
        <v>PR:Games SP:Carol20171020  $1107    </v>
      </c>
      <c r="I60" s="14" t="str">
        <f aca="false">TRIM(H60)</f>
        <v>PR:Games SP:Carol20171020 $1107</v>
      </c>
      <c r="J60" s="21" t="n">
        <f aca="false">LEN(I60)</f>
        <v>31</v>
      </c>
      <c r="K60" s="21" t="n">
        <f aca="false">CODE(RIGHT(I60,1))</f>
        <v>55</v>
      </c>
      <c r="L60" s="14" t="str">
        <f aca="false">SUBSTITUTE(I60,"PR:","")</f>
        <v>Games SP:Carol20171020 $1107</v>
      </c>
      <c r="M60" s="14" t="str">
        <f aca="false">SUBSTITUTE(L60,"SP:","")</f>
        <v>Games Carol20171020 $1107</v>
      </c>
      <c r="N60" s="15" t="str">
        <f aca="false">SUBSTITUTE(M60,"201710"," 201710")</f>
        <v>Games Carol 20171020 $1107</v>
      </c>
      <c r="O60" s="21" t="n">
        <f aca="false">FIND(" ",N60)</f>
        <v>6</v>
      </c>
      <c r="P60" s="21" t="n">
        <f aca="false">FIND(" ",N60,O60+1)</f>
        <v>12</v>
      </c>
      <c r="Q60" s="21" t="n">
        <f aca="false">FIND(" ",N60,P60+1)</f>
        <v>21</v>
      </c>
      <c r="R60" s="26" t="str">
        <f aca="false">LEFT(N60,O60-1)</f>
        <v>Games</v>
      </c>
      <c r="S60" s="26" t="str">
        <f aca="false">MID(N60,O60+1,P60-O60-1)</f>
        <v>Carol</v>
      </c>
      <c r="T60" s="26" t="str">
        <f aca="false">MID(N60,P60+1,Q60-P60-1)</f>
        <v>20171020</v>
      </c>
      <c r="U60" s="26" t="n">
        <f aca="false">VALUE(MID(N60,Q60+2,90))</f>
        <v>1107</v>
      </c>
      <c r="V60" s="27" t="n">
        <f aca="false">DATE(2017,10,MID(T60,7,2))</f>
        <v>43028</v>
      </c>
    </row>
    <row r="61" customFormat="false" ht="14.25" hidden="false" customHeight="false" outlineLevel="0" collapsed="false">
      <c r="A61" s="23" t="n">
        <f aca="false">A60+1</f>
        <v>57</v>
      </c>
      <c r="B61" s="14" t="s">
        <v>75</v>
      </c>
      <c r="C61" s="21" t="n">
        <f aca="false">CODE(RIGHT(B61,1))</f>
        <v>28</v>
      </c>
      <c r="D61" s="14" t="str">
        <f aca="false">CLEAN(B61)</f>
        <v>//PR:Clothing_SP:Alice20171015    $1986     </v>
      </c>
      <c r="E61" s="21" t="n">
        <f aca="false">CODE(RIGHT(D61,1))</f>
        <v>32</v>
      </c>
      <c r="F61" s="14" t="str">
        <f aca="false">SUBSTITUTE(D61,_xlfn.UNICHAR(160)," ")</f>
        <v>//PR:Clothing_SP:Alice20171015    $1986     </v>
      </c>
      <c r="G61" s="14" t="str">
        <f aca="false">SUBSTITUTE(F61,"/","")</f>
        <v>PR:Clothing_SP:Alice20171015    $1986     </v>
      </c>
      <c r="H61" s="14" t="str">
        <f aca="false">SUBSTITUTE(G61,"_"," ")</f>
        <v>PR:Clothing SP:Alice20171015    $1986     </v>
      </c>
      <c r="I61" s="14" t="str">
        <f aca="false">TRIM(H61)</f>
        <v>PR:Clothing SP:Alice20171015 $1986</v>
      </c>
      <c r="J61" s="21" t="n">
        <f aca="false">LEN(I61)</f>
        <v>34</v>
      </c>
      <c r="K61" s="21" t="n">
        <f aca="false">CODE(RIGHT(I61,1))</f>
        <v>54</v>
      </c>
      <c r="L61" s="14" t="str">
        <f aca="false">SUBSTITUTE(I61,"PR:","")</f>
        <v>Clothing SP:Alice20171015 $1986</v>
      </c>
      <c r="M61" s="14" t="str">
        <f aca="false">SUBSTITUTE(L61,"SP:","")</f>
        <v>Clothing Alice20171015 $1986</v>
      </c>
      <c r="N61" s="15" t="str">
        <f aca="false">SUBSTITUTE(M61,"201710"," 201710")</f>
        <v>Clothing Alice 20171015 $1986</v>
      </c>
      <c r="O61" s="21" t="n">
        <f aca="false">FIND(" ",N61)</f>
        <v>9</v>
      </c>
      <c r="P61" s="21" t="n">
        <f aca="false">FIND(" ",N61,O61+1)</f>
        <v>15</v>
      </c>
      <c r="Q61" s="21" t="n">
        <f aca="false">FIND(" ",N61,P61+1)</f>
        <v>24</v>
      </c>
      <c r="R61" s="26" t="str">
        <f aca="false">LEFT(N61,O61-1)</f>
        <v>Clothing</v>
      </c>
      <c r="S61" s="26" t="str">
        <f aca="false">MID(N61,O61+1,P61-O61-1)</f>
        <v>Alice</v>
      </c>
      <c r="T61" s="26" t="str">
        <f aca="false">MID(N61,P61+1,Q61-P61-1)</f>
        <v>20171015</v>
      </c>
      <c r="U61" s="26" t="n">
        <f aca="false">VALUE(MID(N61,Q61+2,90))</f>
        <v>1986</v>
      </c>
      <c r="V61" s="27" t="n">
        <f aca="false">DATE(2017,10,MID(T61,7,2))</f>
        <v>43023</v>
      </c>
    </row>
    <row r="62" customFormat="false" ht="14.25" hidden="false" customHeight="false" outlineLevel="0" collapsed="false">
      <c r="A62" s="23" t="n">
        <f aca="false">A61+1</f>
        <v>58</v>
      </c>
      <c r="B62" s="14" t="s">
        <v>76</v>
      </c>
      <c r="C62" s="21" t="n">
        <f aca="false">CODE(RIGHT(B62,1))</f>
        <v>31</v>
      </c>
      <c r="D62" s="14" t="str">
        <f aca="false">CLEAN(B62)</f>
        <v>////PR:Books_____SP:David20171010     $987  </v>
      </c>
      <c r="E62" s="21" t="n">
        <f aca="false">CODE(RIGHT(D62,1))</f>
        <v>32</v>
      </c>
      <c r="F62" s="14" t="str">
        <f aca="false">SUBSTITUTE(D62,_xlfn.UNICHAR(160)," ")</f>
        <v>////PR:Books_____SP:David20171010     $987  </v>
      </c>
      <c r="G62" s="14" t="str">
        <f aca="false">SUBSTITUTE(F62,"/","")</f>
        <v>PR:Books_____SP:David20171010     $987  </v>
      </c>
      <c r="H62" s="14" t="str">
        <f aca="false">SUBSTITUTE(G62,"_"," ")</f>
        <v>PR:Books     SP:David20171010     $987  </v>
      </c>
      <c r="I62" s="14" t="str">
        <f aca="false">TRIM(H62)</f>
        <v>PR:Books SP:David20171010 $987</v>
      </c>
      <c r="J62" s="21" t="n">
        <f aca="false">LEN(I62)</f>
        <v>30</v>
      </c>
      <c r="K62" s="21" t="n">
        <f aca="false">CODE(RIGHT(I62,1))</f>
        <v>55</v>
      </c>
      <c r="L62" s="14" t="str">
        <f aca="false">SUBSTITUTE(I62,"PR:","")</f>
        <v>Books SP:David20171010 $987</v>
      </c>
      <c r="M62" s="14" t="str">
        <f aca="false">SUBSTITUTE(L62,"SP:","")</f>
        <v>Books David20171010 $987</v>
      </c>
      <c r="N62" s="15" t="str">
        <f aca="false">SUBSTITUTE(M62,"201710"," 201710")</f>
        <v>Books David 20171010 $987</v>
      </c>
      <c r="O62" s="21" t="n">
        <f aca="false">FIND(" ",N62)</f>
        <v>6</v>
      </c>
      <c r="P62" s="21" t="n">
        <f aca="false">FIND(" ",N62,O62+1)</f>
        <v>12</v>
      </c>
      <c r="Q62" s="21" t="n">
        <f aca="false">FIND(" ",N62,P62+1)</f>
        <v>21</v>
      </c>
      <c r="R62" s="26" t="str">
        <f aca="false">LEFT(N62,O62-1)</f>
        <v>Books</v>
      </c>
      <c r="S62" s="26" t="str">
        <f aca="false">MID(N62,O62+1,P62-O62-1)</f>
        <v>David</v>
      </c>
      <c r="T62" s="26" t="str">
        <f aca="false">MID(N62,P62+1,Q62-P62-1)</f>
        <v>20171010</v>
      </c>
      <c r="U62" s="26" t="n">
        <f aca="false">VALUE(MID(N62,Q62+2,90))</f>
        <v>987</v>
      </c>
      <c r="V62" s="27" t="n">
        <f aca="false">DATE(2017,10,MID(T62,7,2))</f>
        <v>43018</v>
      </c>
    </row>
    <row r="63" customFormat="false" ht="14.25" hidden="false" customHeight="false" outlineLevel="0" collapsed="false">
      <c r="A63" s="23" t="n">
        <f aca="false">A62+1</f>
        <v>59</v>
      </c>
      <c r="B63" s="14" t="s">
        <v>77</v>
      </c>
      <c r="C63" s="21" t="n">
        <f aca="false">CODE(RIGHT(B63,1))</f>
        <v>31</v>
      </c>
      <c r="D63" s="14" t="str">
        <f aca="false">CLEAN(B63)</f>
        <v>///PR:Games____SP:David20171015    $0 </v>
      </c>
      <c r="E63" s="21" t="n">
        <f aca="false">CODE(RIGHT(D63,1))</f>
        <v>32</v>
      </c>
      <c r="F63" s="14" t="str">
        <f aca="false">SUBSTITUTE(D63,_xlfn.UNICHAR(160)," ")</f>
        <v>///PR:Games____SP:David20171015    $0 </v>
      </c>
      <c r="G63" s="14" t="str">
        <f aca="false">SUBSTITUTE(F63,"/","")</f>
        <v>PR:Games____SP:David20171015    $0 </v>
      </c>
      <c r="H63" s="14" t="str">
        <f aca="false">SUBSTITUTE(G63,"_"," ")</f>
        <v>PR:Games    SP:David20171015    $0 </v>
      </c>
      <c r="I63" s="14" t="str">
        <f aca="false">TRIM(H63)</f>
        <v>PR:Games SP:David20171015 $0</v>
      </c>
      <c r="J63" s="21" t="n">
        <f aca="false">LEN(I63)</f>
        <v>28</v>
      </c>
      <c r="K63" s="21" t="n">
        <f aca="false">CODE(RIGHT(I63,1))</f>
        <v>48</v>
      </c>
      <c r="L63" s="14" t="str">
        <f aca="false">SUBSTITUTE(I63,"PR:","")</f>
        <v>Games SP:David20171015 $0</v>
      </c>
      <c r="M63" s="14" t="str">
        <f aca="false">SUBSTITUTE(L63,"SP:","")</f>
        <v>Games David20171015 $0</v>
      </c>
      <c r="N63" s="15" t="str">
        <f aca="false">SUBSTITUTE(M63,"201710"," 201710")</f>
        <v>Games David 20171015 $0</v>
      </c>
      <c r="O63" s="21" t="n">
        <f aca="false">FIND(" ",N63)</f>
        <v>6</v>
      </c>
      <c r="P63" s="21" t="n">
        <f aca="false">FIND(" ",N63,O63+1)</f>
        <v>12</v>
      </c>
      <c r="Q63" s="21" t="n">
        <f aca="false">FIND(" ",N63,P63+1)</f>
        <v>21</v>
      </c>
      <c r="R63" s="26" t="str">
        <f aca="false">LEFT(N63,O63-1)</f>
        <v>Games</v>
      </c>
      <c r="S63" s="26" t="str">
        <f aca="false">MID(N63,O63+1,P63-O63-1)</f>
        <v>David</v>
      </c>
      <c r="T63" s="26" t="str">
        <f aca="false">MID(N63,P63+1,Q63-P63-1)</f>
        <v>20171015</v>
      </c>
      <c r="U63" s="26" t="n">
        <f aca="false">VALUE(MID(N63,Q63+2,90))</f>
        <v>0</v>
      </c>
      <c r="V63" s="27" t="n">
        <f aca="false">DATE(2017,10,MID(T63,7,2))</f>
        <v>43023</v>
      </c>
    </row>
    <row r="64" customFormat="false" ht="14.25" hidden="false" customHeight="false" outlineLevel="0" collapsed="false">
      <c r="A64" s="23" t="n">
        <f aca="false">A63+1</f>
        <v>60</v>
      </c>
      <c r="B64" s="14" t="s">
        <v>78</v>
      </c>
      <c r="C64" s="21" t="n">
        <f aca="false">CODE(RIGHT(B64,1))</f>
        <v>31</v>
      </c>
      <c r="D64" s="14" t="str">
        <f aca="false">CLEAN(B64)</f>
        <v>/////PR:Music___SP:David2017108 $1355   </v>
      </c>
      <c r="E64" s="21" t="n">
        <f aca="false">CODE(RIGHT(D64,1))</f>
        <v>32</v>
      </c>
      <c r="F64" s="14" t="str">
        <f aca="false">SUBSTITUTE(D64,_xlfn.UNICHAR(160)," ")</f>
        <v>/////PR:Music___SP:David2017108 $1355   </v>
      </c>
      <c r="G64" s="14" t="str">
        <f aca="false">SUBSTITUTE(F64,"/","")</f>
        <v>PR:Music___SP:David2017108 $1355   </v>
      </c>
      <c r="H64" s="14" t="str">
        <f aca="false">SUBSTITUTE(G64,"_"," ")</f>
        <v>PR:Music   SP:David2017108 $1355   </v>
      </c>
      <c r="I64" s="14" t="str">
        <f aca="false">TRIM(H64)</f>
        <v>PR:Music SP:David2017108 $1355</v>
      </c>
      <c r="J64" s="21" t="n">
        <f aca="false">LEN(I64)</f>
        <v>30</v>
      </c>
      <c r="K64" s="21" t="n">
        <f aca="false">CODE(RIGHT(I64,1))</f>
        <v>53</v>
      </c>
      <c r="L64" s="14" t="str">
        <f aca="false">SUBSTITUTE(I64,"PR:","")</f>
        <v>Music SP:David2017108 $1355</v>
      </c>
      <c r="M64" s="14" t="str">
        <f aca="false">SUBSTITUTE(L64,"SP:","")</f>
        <v>Music David2017108 $1355</v>
      </c>
      <c r="N64" s="15" t="str">
        <f aca="false">SUBSTITUTE(M64,"201710"," 201710")</f>
        <v>Music David 2017108 $1355</v>
      </c>
      <c r="O64" s="21" t="n">
        <f aca="false">FIND(" ",N64)</f>
        <v>6</v>
      </c>
      <c r="P64" s="21" t="n">
        <f aca="false">FIND(" ",N64,O64+1)</f>
        <v>12</v>
      </c>
      <c r="Q64" s="21" t="n">
        <f aca="false">FIND(" ",N64,P64+1)</f>
        <v>20</v>
      </c>
      <c r="R64" s="26" t="str">
        <f aca="false">LEFT(N64,O64-1)</f>
        <v>Music</v>
      </c>
      <c r="S64" s="26" t="str">
        <f aca="false">MID(N64,O64+1,P64-O64-1)</f>
        <v>David</v>
      </c>
      <c r="T64" s="26" t="str">
        <f aca="false">MID(N64,P64+1,Q64-P64-1)</f>
        <v>2017108</v>
      </c>
      <c r="U64" s="26" t="n">
        <f aca="false">VALUE(MID(N64,Q64+2,90))</f>
        <v>1355</v>
      </c>
      <c r="V64" s="27" t="n">
        <f aca="false">DATE(2017,10,MID(T64,7,2))</f>
        <v>43016</v>
      </c>
    </row>
    <row r="65" customFormat="false" ht="14.25" hidden="false" customHeight="false" outlineLevel="0" collapsed="false">
      <c r="A65" s="23" t="n">
        <f aca="false">A64+1</f>
        <v>61</v>
      </c>
      <c r="B65" s="14" t="s">
        <v>79</v>
      </c>
      <c r="C65" s="21" t="n">
        <f aca="false">CODE(RIGHT(B65,1))</f>
        <v>28</v>
      </c>
      <c r="D65" s="14" t="str">
        <f aca="false">CLEAN(B65)</f>
        <v>////PR:Games__SP:David20171026    $1466    </v>
      </c>
      <c r="E65" s="21" t="n">
        <f aca="false">CODE(RIGHT(D65,1))</f>
        <v>32</v>
      </c>
      <c r="F65" s="14" t="str">
        <f aca="false">SUBSTITUTE(D65,_xlfn.UNICHAR(160)," ")</f>
        <v>////PR:Games__SP:David20171026    $1466    </v>
      </c>
      <c r="G65" s="14" t="str">
        <f aca="false">SUBSTITUTE(F65,"/","")</f>
        <v>PR:Games__SP:David20171026    $1466    </v>
      </c>
      <c r="H65" s="14" t="str">
        <f aca="false">SUBSTITUTE(G65,"_"," ")</f>
        <v>PR:Games  SP:David20171026    $1466    </v>
      </c>
      <c r="I65" s="14" t="str">
        <f aca="false">TRIM(H65)</f>
        <v>PR:Games SP:David20171026 $1466</v>
      </c>
      <c r="J65" s="21" t="n">
        <f aca="false">LEN(I65)</f>
        <v>31</v>
      </c>
      <c r="K65" s="21" t="n">
        <f aca="false">CODE(RIGHT(I65,1))</f>
        <v>54</v>
      </c>
      <c r="L65" s="14" t="str">
        <f aca="false">SUBSTITUTE(I65,"PR:","")</f>
        <v>Games SP:David20171026 $1466</v>
      </c>
      <c r="M65" s="14" t="str">
        <f aca="false">SUBSTITUTE(L65,"SP:","")</f>
        <v>Games David20171026 $1466</v>
      </c>
      <c r="N65" s="15" t="str">
        <f aca="false">SUBSTITUTE(M65,"201710"," 201710")</f>
        <v>Games David 20171026 $1466</v>
      </c>
      <c r="O65" s="21" t="n">
        <f aca="false">FIND(" ",N65)</f>
        <v>6</v>
      </c>
      <c r="P65" s="21" t="n">
        <f aca="false">FIND(" ",N65,O65+1)</f>
        <v>12</v>
      </c>
      <c r="Q65" s="21" t="n">
        <f aca="false">FIND(" ",N65,P65+1)</f>
        <v>21</v>
      </c>
      <c r="R65" s="26" t="str">
        <f aca="false">LEFT(N65,O65-1)</f>
        <v>Games</v>
      </c>
      <c r="S65" s="26" t="str">
        <f aca="false">MID(N65,O65+1,P65-O65-1)</f>
        <v>David</v>
      </c>
      <c r="T65" s="26" t="str">
        <f aca="false">MID(N65,P65+1,Q65-P65-1)</f>
        <v>20171026</v>
      </c>
      <c r="U65" s="26" t="n">
        <f aca="false">VALUE(MID(N65,Q65+2,90))</f>
        <v>1466</v>
      </c>
      <c r="V65" s="27" t="n">
        <f aca="false">DATE(2017,10,MID(T65,7,2))</f>
        <v>43034</v>
      </c>
    </row>
    <row r="66" customFormat="false" ht="14.25" hidden="false" customHeight="false" outlineLevel="0" collapsed="false">
      <c r="A66" s="23" t="n">
        <f aca="false">A65+1</f>
        <v>62</v>
      </c>
      <c r="B66" s="14" t="s">
        <v>80</v>
      </c>
      <c r="C66" s="21" t="n">
        <f aca="false">CODE(RIGHT(B66,1))</f>
        <v>31</v>
      </c>
      <c r="D66" s="14" t="str">
        <f aca="false">CLEAN(B66)</f>
        <v>/PR:Books_____SP:Carol2017108     $591   </v>
      </c>
      <c r="E66" s="21" t="n">
        <f aca="false">CODE(RIGHT(D66,1))</f>
        <v>32</v>
      </c>
      <c r="F66" s="14" t="str">
        <f aca="false">SUBSTITUTE(D66,_xlfn.UNICHAR(160)," ")</f>
        <v>/PR:Books_____SP:Carol2017108     $591   </v>
      </c>
      <c r="G66" s="14" t="str">
        <f aca="false">SUBSTITUTE(F66,"/","")</f>
        <v>PR:Books_____SP:Carol2017108     $591   </v>
      </c>
      <c r="H66" s="14" t="str">
        <f aca="false">SUBSTITUTE(G66,"_"," ")</f>
        <v>PR:Books     SP:Carol2017108     $591   </v>
      </c>
      <c r="I66" s="14" t="str">
        <f aca="false">TRIM(H66)</f>
        <v>PR:Books SP:Carol2017108 $591</v>
      </c>
      <c r="J66" s="21" t="n">
        <f aca="false">LEN(I66)</f>
        <v>29</v>
      </c>
      <c r="K66" s="21" t="n">
        <f aca="false">CODE(RIGHT(I66,1))</f>
        <v>49</v>
      </c>
      <c r="L66" s="14" t="str">
        <f aca="false">SUBSTITUTE(I66,"PR:","")</f>
        <v>Books SP:Carol2017108 $591</v>
      </c>
      <c r="M66" s="14" t="str">
        <f aca="false">SUBSTITUTE(L66,"SP:","")</f>
        <v>Books Carol2017108 $591</v>
      </c>
      <c r="N66" s="15" t="str">
        <f aca="false">SUBSTITUTE(M66,"201710"," 201710")</f>
        <v>Books Carol 2017108 $591</v>
      </c>
      <c r="O66" s="21" t="n">
        <f aca="false">FIND(" ",N66)</f>
        <v>6</v>
      </c>
      <c r="P66" s="21" t="n">
        <f aca="false">FIND(" ",N66,O66+1)</f>
        <v>12</v>
      </c>
      <c r="Q66" s="21" t="n">
        <f aca="false">FIND(" ",N66,P66+1)</f>
        <v>20</v>
      </c>
      <c r="R66" s="26" t="str">
        <f aca="false">LEFT(N66,O66-1)</f>
        <v>Books</v>
      </c>
      <c r="S66" s="26" t="str">
        <f aca="false">MID(N66,O66+1,P66-O66-1)</f>
        <v>Carol</v>
      </c>
      <c r="T66" s="26" t="str">
        <f aca="false">MID(N66,P66+1,Q66-P66-1)</f>
        <v>2017108</v>
      </c>
      <c r="U66" s="26" t="n">
        <f aca="false">VALUE(MID(N66,Q66+2,90))</f>
        <v>591</v>
      </c>
      <c r="V66" s="27" t="n">
        <f aca="false">DATE(2017,10,MID(T66,7,2))</f>
        <v>43016</v>
      </c>
    </row>
    <row r="67" customFormat="false" ht="14.25" hidden="false" customHeight="false" outlineLevel="0" collapsed="false">
      <c r="A67" s="23" t="n">
        <f aca="false">A66+1</f>
        <v>63</v>
      </c>
      <c r="B67" s="14" t="s">
        <v>81</v>
      </c>
      <c r="C67" s="21" t="n">
        <f aca="false">CODE(RIGHT(B67,1))</f>
        <v>31</v>
      </c>
      <c r="D67" s="14" t="str">
        <f aca="false">CLEAN(B67)</f>
        <v>////PR:Books___SP:David20171019 $564   </v>
      </c>
      <c r="E67" s="21" t="n">
        <f aca="false">CODE(RIGHT(D67,1))</f>
        <v>32</v>
      </c>
      <c r="F67" s="14" t="str">
        <f aca="false">SUBSTITUTE(D67,_xlfn.UNICHAR(160)," ")</f>
        <v>////PR:Books___SP:David20171019 $564   </v>
      </c>
      <c r="G67" s="14" t="str">
        <f aca="false">SUBSTITUTE(F67,"/","")</f>
        <v>PR:Books___SP:David20171019 $564   </v>
      </c>
      <c r="H67" s="14" t="str">
        <f aca="false">SUBSTITUTE(G67,"_"," ")</f>
        <v>PR:Books   SP:David20171019 $564   </v>
      </c>
      <c r="I67" s="14" t="str">
        <f aca="false">TRIM(H67)</f>
        <v>PR:Books SP:David20171019 $564</v>
      </c>
      <c r="J67" s="21" t="n">
        <f aca="false">LEN(I67)</f>
        <v>30</v>
      </c>
      <c r="K67" s="21" t="n">
        <f aca="false">CODE(RIGHT(I67,1))</f>
        <v>52</v>
      </c>
      <c r="L67" s="14" t="str">
        <f aca="false">SUBSTITUTE(I67,"PR:","")</f>
        <v>Books SP:David20171019 $564</v>
      </c>
      <c r="M67" s="14" t="str">
        <f aca="false">SUBSTITUTE(L67,"SP:","")</f>
        <v>Books David20171019 $564</v>
      </c>
      <c r="N67" s="15" t="str">
        <f aca="false">SUBSTITUTE(M67,"201710"," 201710")</f>
        <v>Books David 20171019 $564</v>
      </c>
      <c r="O67" s="21" t="n">
        <f aca="false">FIND(" ",N67)</f>
        <v>6</v>
      </c>
      <c r="P67" s="21" t="n">
        <f aca="false">FIND(" ",N67,O67+1)</f>
        <v>12</v>
      </c>
      <c r="Q67" s="21" t="n">
        <f aca="false">FIND(" ",N67,P67+1)</f>
        <v>21</v>
      </c>
      <c r="R67" s="26" t="str">
        <f aca="false">LEFT(N67,O67-1)</f>
        <v>Books</v>
      </c>
      <c r="S67" s="26" t="str">
        <f aca="false">MID(N67,O67+1,P67-O67-1)</f>
        <v>David</v>
      </c>
      <c r="T67" s="26" t="str">
        <f aca="false">MID(N67,P67+1,Q67-P67-1)</f>
        <v>20171019</v>
      </c>
      <c r="U67" s="26" t="n">
        <f aca="false">VALUE(MID(N67,Q67+2,90))</f>
        <v>564</v>
      </c>
      <c r="V67" s="27" t="n">
        <f aca="false">DATE(2017,10,MID(T67,7,2))</f>
        <v>43027</v>
      </c>
    </row>
    <row r="68" customFormat="false" ht="14.25" hidden="false" customHeight="false" outlineLevel="0" collapsed="false">
      <c r="A68" s="23" t="n">
        <f aca="false">A67+1</f>
        <v>64</v>
      </c>
      <c r="B68" s="14" t="s">
        <v>82</v>
      </c>
      <c r="C68" s="21" t="n">
        <f aca="false">CODE(RIGHT(B68,1))</f>
        <v>31</v>
      </c>
      <c r="D68" s="14" t="str">
        <f aca="false">CLEAN(B68)</f>
        <v>////PR:Clothing_____SP:Barney20171020   $1875  </v>
      </c>
      <c r="E68" s="21" t="n">
        <f aca="false">CODE(RIGHT(D68,1))</f>
        <v>32</v>
      </c>
      <c r="F68" s="14" t="str">
        <f aca="false">SUBSTITUTE(D68,_xlfn.UNICHAR(160)," ")</f>
        <v>////PR:Clothing_____SP:Barney20171020   $1875  </v>
      </c>
      <c r="G68" s="14" t="str">
        <f aca="false">SUBSTITUTE(F68,"/","")</f>
        <v>PR:Clothing_____SP:Barney20171020   $1875  </v>
      </c>
      <c r="H68" s="14" t="str">
        <f aca="false">SUBSTITUTE(G68,"_"," ")</f>
        <v>PR:Clothing     SP:Barney20171020   $1875  </v>
      </c>
      <c r="I68" s="14" t="str">
        <f aca="false">TRIM(H68)</f>
        <v>PR:Clothing SP:Barney20171020 $1875</v>
      </c>
      <c r="J68" s="21" t="n">
        <f aca="false">LEN(I68)</f>
        <v>35</v>
      </c>
      <c r="K68" s="21" t="n">
        <f aca="false">CODE(RIGHT(I68,1))</f>
        <v>53</v>
      </c>
      <c r="L68" s="14" t="str">
        <f aca="false">SUBSTITUTE(I68,"PR:","")</f>
        <v>Clothing SP:Barney20171020 $1875</v>
      </c>
      <c r="M68" s="14" t="str">
        <f aca="false">SUBSTITUTE(L68,"SP:","")</f>
        <v>Clothing Barney20171020 $1875</v>
      </c>
      <c r="N68" s="15" t="str">
        <f aca="false">SUBSTITUTE(M68,"201710"," 201710")</f>
        <v>Clothing Barney 20171020 $1875</v>
      </c>
      <c r="O68" s="21" t="n">
        <f aca="false">FIND(" ",N68)</f>
        <v>9</v>
      </c>
      <c r="P68" s="21" t="n">
        <f aca="false">FIND(" ",N68,O68+1)</f>
        <v>16</v>
      </c>
      <c r="Q68" s="21" t="n">
        <f aca="false">FIND(" ",N68,P68+1)</f>
        <v>25</v>
      </c>
      <c r="R68" s="26" t="str">
        <f aca="false">LEFT(N68,O68-1)</f>
        <v>Clothing</v>
      </c>
      <c r="S68" s="26" t="str">
        <f aca="false">MID(N68,O68+1,P68-O68-1)</f>
        <v>Barney</v>
      </c>
      <c r="T68" s="26" t="str">
        <f aca="false">MID(N68,P68+1,Q68-P68-1)</f>
        <v>20171020</v>
      </c>
      <c r="U68" s="26" t="n">
        <f aca="false">VALUE(MID(N68,Q68+2,90))</f>
        <v>1875</v>
      </c>
      <c r="V68" s="27" t="n">
        <f aca="false">DATE(2017,10,MID(T68,7,2))</f>
        <v>43028</v>
      </c>
    </row>
    <row r="69" customFormat="false" ht="14.25" hidden="false" customHeight="false" outlineLevel="0" collapsed="false">
      <c r="A69" s="23" t="n">
        <f aca="false">A68+1</f>
        <v>65</v>
      </c>
      <c r="B69" s="14" t="s">
        <v>83</v>
      </c>
      <c r="C69" s="21" t="n">
        <f aca="false">CODE(RIGHT(B69,1))</f>
        <v>30</v>
      </c>
      <c r="D69" s="14" t="str">
        <f aca="false">CLEAN(B69)</f>
        <v>////PR:Games_____SP:Barney20171024  $0    </v>
      </c>
      <c r="E69" s="21" t="n">
        <f aca="false">CODE(RIGHT(D69,1))</f>
        <v>32</v>
      </c>
      <c r="F69" s="14" t="str">
        <f aca="false">SUBSTITUTE(D69,_xlfn.UNICHAR(160)," ")</f>
        <v>////PR:Games_____SP:Barney20171024  $0    </v>
      </c>
      <c r="G69" s="14" t="str">
        <f aca="false">SUBSTITUTE(F69,"/","")</f>
        <v>PR:Games_____SP:Barney20171024  $0    </v>
      </c>
      <c r="H69" s="14" t="str">
        <f aca="false">SUBSTITUTE(G69,"_"," ")</f>
        <v>PR:Games     SP:Barney20171024  $0    </v>
      </c>
      <c r="I69" s="14" t="str">
        <f aca="false">TRIM(H69)</f>
        <v>PR:Games SP:Barney20171024 $0</v>
      </c>
      <c r="J69" s="21" t="n">
        <f aca="false">LEN(I69)</f>
        <v>29</v>
      </c>
      <c r="K69" s="21" t="n">
        <f aca="false">CODE(RIGHT(I69,1))</f>
        <v>48</v>
      </c>
      <c r="L69" s="14" t="str">
        <f aca="false">SUBSTITUTE(I69,"PR:","")</f>
        <v>Games SP:Barney20171024 $0</v>
      </c>
      <c r="M69" s="14" t="str">
        <f aca="false">SUBSTITUTE(L69,"SP:","")</f>
        <v>Games Barney20171024 $0</v>
      </c>
      <c r="N69" s="15" t="str">
        <f aca="false">SUBSTITUTE(M69,"201710"," 201710")</f>
        <v>Games Barney 20171024 $0</v>
      </c>
      <c r="O69" s="21" t="n">
        <f aca="false">FIND(" ",N69)</f>
        <v>6</v>
      </c>
      <c r="P69" s="21" t="n">
        <f aca="false">FIND(" ",N69,O69+1)</f>
        <v>13</v>
      </c>
      <c r="Q69" s="21" t="n">
        <f aca="false">FIND(" ",N69,P69+1)</f>
        <v>22</v>
      </c>
      <c r="R69" s="26" t="str">
        <f aca="false">LEFT(N69,O69-1)</f>
        <v>Games</v>
      </c>
      <c r="S69" s="26" t="str">
        <f aca="false">MID(N69,O69+1,P69-O69-1)</f>
        <v>Barney</v>
      </c>
      <c r="T69" s="26" t="str">
        <f aca="false">MID(N69,P69+1,Q69-P69-1)</f>
        <v>20171024</v>
      </c>
      <c r="U69" s="26" t="n">
        <f aca="false">VALUE(MID(N69,Q69+2,90))</f>
        <v>0</v>
      </c>
      <c r="V69" s="27" t="n">
        <f aca="false">DATE(2017,10,MID(T69,7,2))</f>
        <v>43032</v>
      </c>
    </row>
    <row r="70" customFormat="false" ht="14.25" hidden="false" customHeight="false" outlineLevel="0" collapsed="false">
      <c r="A70" s="23" t="n">
        <f aca="false">A69+1</f>
        <v>66</v>
      </c>
      <c r="B70" s="14" t="s">
        <v>84</v>
      </c>
      <c r="C70" s="21" t="n">
        <f aca="false">CODE(RIGHT(B70,1))</f>
        <v>30</v>
      </c>
      <c r="D70" s="14" t="str">
        <f aca="false">CLEAN(B70)</f>
        <v>/PR:Clothing_____SP:David2017107  $1564   </v>
      </c>
      <c r="E70" s="21" t="n">
        <f aca="false">CODE(RIGHT(D70,1))</f>
        <v>32</v>
      </c>
      <c r="F70" s="14" t="str">
        <f aca="false">SUBSTITUTE(D70,_xlfn.UNICHAR(160)," ")</f>
        <v>/PR:Clothing_____SP:David2017107  $1564   </v>
      </c>
      <c r="G70" s="14" t="str">
        <f aca="false">SUBSTITUTE(F70,"/","")</f>
        <v>PR:Clothing_____SP:David2017107  $1564   </v>
      </c>
      <c r="H70" s="14" t="str">
        <f aca="false">SUBSTITUTE(G70,"_"," ")</f>
        <v>PR:Clothing     SP:David2017107  $1564   </v>
      </c>
      <c r="I70" s="14" t="str">
        <f aca="false">TRIM(H70)</f>
        <v>PR:Clothing SP:David2017107 $1564</v>
      </c>
      <c r="J70" s="21" t="n">
        <f aca="false">LEN(I70)</f>
        <v>33</v>
      </c>
      <c r="K70" s="21" t="n">
        <f aca="false">CODE(RIGHT(I70,1))</f>
        <v>52</v>
      </c>
      <c r="L70" s="14" t="str">
        <f aca="false">SUBSTITUTE(I70,"PR:","")</f>
        <v>Clothing SP:David2017107 $1564</v>
      </c>
      <c r="M70" s="14" t="str">
        <f aca="false">SUBSTITUTE(L70,"SP:","")</f>
        <v>Clothing David2017107 $1564</v>
      </c>
      <c r="N70" s="15" t="str">
        <f aca="false">SUBSTITUTE(M70,"201710"," 201710")</f>
        <v>Clothing David 2017107 $1564</v>
      </c>
      <c r="O70" s="21" t="n">
        <f aca="false">FIND(" ",N70)</f>
        <v>9</v>
      </c>
      <c r="P70" s="21" t="n">
        <f aca="false">FIND(" ",N70,O70+1)</f>
        <v>15</v>
      </c>
      <c r="Q70" s="21" t="n">
        <f aca="false">FIND(" ",N70,P70+1)</f>
        <v>23</v>
      </c>
      <c r="R70" s="26" t="str">
        <f aca="false">LEFT(N70,O70-1)</f>
        <v>Clothing</v>
      </c>
      <c r="S70" s="26" t="str">
        <f aca="false">MID(N70,O70+1,P70-O70-1)</f>
        <v>David</v>
      </c>
      <c r="T70" s="26" t="str">
        <f aca="false">MID(N70,P70+1,Q70-P70-1)</f>
        <v>2017107</v>
      </c>
      <c r="U70" s="26" t="n">
        <f aca="false">VALUE(MID(N70,Q70+2,90))</f>
        <v>1564</v>
      </c>
      <c r="V70" s="27" t="n">
        <f aca="false">DATE(2017,10,MID(T70,7,2))</f>
        <v>43015</v>
      </c>
    </row>
    <row r="71" customFormat="false" ht="14.25" hidden="false" customHeight="false" outlineLevel="0" collapsed="false">
      <c r="A71" s="23" t="n">
        <f aca="false">A70+1</f>
        <v>67</v>
      </c>
      <c r="B71" s="14" t="s">
        <v>85</v>
      </c>
      <c r="C71" s="21" t="n">
        <f aca="false">CODE(RIGHT(B71,1))</f>
        <v>30</v>
      </c>
      <c r="D71" s="14" t="str">
        <f aca="false">CLEAN(B71)</f>
        <v>///PR:Games___SP:Carol2017107   $0     </v>
      </c>
      <c r="E71" s="21" t="n">
        <f aca="false">CODE(RIGHT(D71,1))</f>
        <v>32</v>
      </c>
      <c r="F71" s="14" t="str">
        <f aca="false">SUBSTITUTE(D71,_xlfn.UNICHAR(160)," ")</f>
        <v>///PR:Games___SP:Carol2017107   $0     </v>
      </c>
      <c r="G71" s="14" t="str">
        <f aca="false">SUBSTITUTE(F71,"/","")</f>
        <v>PR:Games___SP:Carol2017107   $0     </v>
      </c>
      <c r="H71" s="14" t="str">
        <f aca="false">SUBSTITUTE(G71,"_"," ")</f>
        <v>PR:Games   SP:Carol2017107   $0     </v>
      </c>
      <c r="I71" s="14" t="str">
        <f aca="false">TRIM(H71)</f>
        <v>PR:Games SP:Carol2017107 $0</v>
      </c>
      <c r="J71" s="21" t="n">
        <f aca="false">LEN(I71)</f>
        <v>27</v>
      </c>
      <c r="K71" s="21" t="n">
        <f aca="false">CODE(RIGHT(I71,1))</f>
        <v>48</v>
      </c>
      <c r="L71" s="14" t="str">
        <f aca="false">SUBSTITUTE(I71,"PR:","")</f>
        <v>Games SP:Carol2017107 $0</v>
      </c>
      <c r="M71" s="14" t="str">
        <f aca="false">SUBSTITUTE(L71,"SP:","")</f>
        <v>Games Carol2017107 $0</v>
      </c>
      <c r="N71" s="15" t="str">
        <f aca="false">SUBSTITUTE(M71,"201710"," 201710")</f>
        <v>Games Carol 2017107 $0</v>
      </c>
      <c r="O71" s="21" t="n">
        <f aca="false">FIND(" ",N71)</f>
        <v>6</v>
      </c>
      <c r="P71" s="21" t="n">
        <f aca="false">FIND(" ",N71,O71+1)</f>
        <v>12</v>
      </c>
      <c r="Q71" s="21" t="n">
        <f aca="false">FIND(" ",N71,P71+1)</f>
        <v>20</v>
      </c>
      <c r="R71" s="26" t="str">
        <f aca="false">LEFT(N71,O71-1)</f>
        <v>Games</v>
      </c>
      <c r="S71" s="26" t="str">
        <f aca="false">MID(N71,O71+1,P71-O71-1)</f>
        <v>Carol</v>
      </c>
      <c r="T71" s="26" t="str">
        <f aca="false">MID(N71,P71+1,Q71-P71-1)</f>
        <v>2017107</v>
      </c>
      <c r="U71" s="26" t="n">
        <f aca="false">VALUE(MID(N71,Q71+2,90))</f>
        <v>0</v>
      </c>
      <c r="V71" s="27" t="n">
        <f aca="false">DATE(2017,10,MID(T71,7,2))</f>
        <v>43015</v>
      </c>
    </row>
    <row r="72" customFormat="false" ht="14.25" hidden="false" customHeight="false" outlineLevel="0" collapsed="false">
      <c r="A72" s="23" t="n">
        <f aca="false">A71+1</f>
        <v>68</v>
      </c>
      <c r="B72" s="14" t="s">
        <v>86</v>
      </c>
      <c r="C72" s="21" t="n">
        <f aca="false">CODE(RIGHT(B72,1))</f>
        <v>31</v>
      </c>
      <c r="D72" s="14" t="str">
        <f aca="false">CLEAN(B72)</f>
        <v>/////PR:Books_____SP:Carol20171019  $0     </v>
      </c>
      <c r="E72" s="21" t="n">
        <f aca="false">CODE(RIGHT(D72,1))</f>
        <v>32</v>
      </c>
      <c r="F72" s="14" t="str">
        <f aca="false">SUBSTITUTE(D72,_xlfn.UNICHAR(160)," ")</f>
        <v>/////PR:Books_____SP:Carol20171019  $0     </v>
      </c>
      <c r="G72" s="14" t="str">
        <f aca="false">SUBSTITUTE(F72,"/","")</f>
        <v>PR:Books_____SP:Carol20171019  $0     </v>
      </c>
      <c r="H72" s="14" t="str">
        <f aca="false">SUBSTITUTE(G72,"_"," ")</f>
        <v>PR:Books     SP:Carol20171019  $0     </v>
      </c>
      <c r="I72" s="14" t="str">
        <f aca="false">TRIM(H72)</f>
        <v>PR:Books SP:Carol20171019 $0</v>
      </c>
      <c r="J72" s="21" t="n">
        <f aca="false">LEN(I72)</f>
        <v>28</v>
      </c>
      <c r="K72" s="21" t="n">
        <f aca="false">CODE(RIGHT(I72,1))</f>
        <v>48</v>
      </c>
      <c r="L72" s="14" t="str">
        <f aca="false">SUBSTITUTE(I72,"PR:","")</f>
        <v>Books SP:Carol20171019 $0</v>
      </c>
      <c r="M72" s="14" t="str">
        <f aca="false">SUBSTITUTE(L72,"SP:","")</f>
        <v>Books Carol20171019 $0</v>
      </c>
      <c r="N72" s="15" t="str">
        <f aca="false">SUBSTITUTE(M72,"201710"," 201710")</f>
        <v>Books Carol 20171019 $0</v>
      </c>
      <c r="O72" s="21" t="n">
        <f aca="false">FIND(" ",N72)</f>
        <v>6</v>
      </c>
      <c r="P72" s="21" t="n">
        <f aca="false">FIND(" ",N72,O72+1)</f>
        <v>12</v>
      </c>
      <c r="Q72" s="21" t="n">
        <f aca="false">FIND(" ",N72,P72+1)</f>
        <v>21</v>
      </c>
      <c r="R72" s="26" t="str">
        <f aca="false">LEFT(N72,O72-1)</f>
        <v>Books</v>
      </c>
      <c r="S72" s="26" t="str">
        <f aca="false">MID(N72,O72+1,P72-O72-1)</f>
        <v>Carol</v>
      </c>
      <c r="T72" s="26" t="str">
        <f aca="false">MID(N72,P72+1,Q72-P72-1)</f>
        <v>20171019</v>
      </c>
      <c r="U72" s="26" t="n">
        <f aca="false">VALUE(MID(N72,Q72+2,90))</f>
        <v>0</v>
      </c>
      <c r="V72" s="27" t="n">
        <f aca="false">DATE(2017,10,MID(T72,7,2))</f>
        <v>43027</v>
      </c>
    </row>
    <row r="73" customFormat="false" ht="14.25" hidden="false" customHeight="false" outlineLevel="0" collapsed="false">
      <c r="A73" s="23" t="n">
        <f aca="false">A72+1</f>
        <v>69</v>
      </c>
      <c r="B73" s="14" t="s">
        <v>87</v>
      </c>
      <c r="C73" s="21" t="n">
        <f aca="false">CODE(RIGHT(B73,1))</f>
        <v>29</v>
      </c>
      <c r="D73" s="14" t="str">
        <f aca="false">CLEAN(B73)</f>
        <v>////PR:Games____SP:Carol20171010 $0    </v>
      </c>
      <c r="E73" s="21" t="n">
        <f aca="false">CODE(RIGHT(D73,1))</f>
        <v>32</v>
      </c>
      <c r="F73" s="14" t="str">
        <f aca="false">SUBSTITUTE(D73,_xlfn.UNICHAR(160)," ")</f>
        <v>////PR:Games____SP:Carol20171010 $0    </v>
      </c>
      <c r="G73" s="14" t="str">
        <f aca="false">SUBSTITUTE(F73,"/","")</f>
        <v>PR:Games____SP:Carol20171010 $0    </v>
      </c>
      <c r="H73" s="14" t="str">
        <f aca="false">SUBSTITUTE(G73,"_"," ")</f>
        <v>PR:Games    SP:Carol20171010 $0    </v>
      </c>
      <c r="I73" s="14" t="str">
        <f aca="false">TRIM(H73)</f>
        <v>PR:Games SP:Carol20171010 $0</v>
      </c>
      <c r="J73" s="21" t="n">
        <f aca="false">LEN(I73)</f>
        <v>28</v>
      </c>
      <c r="K73" s="21" t="n">
        <f aca="false">CODE(RIGHT(I73,1))</f>
        <v>48</v>
      </c>
      <c r="L73" s="14" t="str">
        <f aca="false">SUBSTITUTE(I73,"PR:","")</f>
        <v>Games SP:Carol20171010 $0</v>
      </c>
      <c r="M73" s="14" t="str">
        <f aca="false">SUBSTITUTE(L73,"SP:","")</f>
        <v>Games Carol20171010 $0</v>
      </c>
      <c r="N73" s="15" t="str">
        <f aca="false">SUBSTITUTE(M73,"201710"," 201710")</f>
        <v>Games Carol 20171010 $0</v>
      </c>
      <c r="O73" s="21" t="n">
        <f aca="false">FIND(" ",N73)</f>
        <v>6</v>
      </c>
      <c r="P73" s="21" t="n">
        <f aca="false">FIND(" ",N73,O73+1)</f>
        <v>12</v>
      </c>
      <c r="Q73" s="21" t="n">
        <f aca="false">FIND(" ",N73,P73+1)</f>
        <v>21</v>
      </c>
      <c r="R73" s="26" t="str">
        <f aca="false">LEFT(N73,O73-1)</f>
        <v>Games</v>
      </c>
      <c r="S73" s="26" t="str">
        <f aca="false">MID(N73,O73+1,P73-O73-1)</f>
        <v>Carol</v>
      </c>
      <c r="T73" s="26" t="str">
        <f aca="false">MID(N73,P73+1,Q73-P73-1)</f>
        <v>20171010</v>
      </c>
      <c r="U73" s="26" t="n">
        <f aca="false">VALUE(MID(N73,Q73+2,90))</f>
        <v>0</v>
      </c>
      <c r="V73" s="27" t="n">
        <f aca="false">DATE(2017,10,MID(T73,7,2))</f>
        <v>43018</v>
      </c>
    </row>
    <row r="74" customFormat="false" ht="14.25" hidden="false" customHeight="false" outlineLevel="0" collapsed="false">
      <c r="A74" s="23" t="n">
        <f aca="false">A73+1</f>
        <v>70</v>
      </c>
      <c r="B74" s="14" t="s">
        <v>88</v>
      </c>
      <c r="C74" s="21" t="n">
        <f aca="false">CODE(RIGHT(B74,1))</f>
        <v>31</v>
      </c>
      <c r="D74" s="14" t="str">
        <f aca="false">CLEAN(B74)</f>
        <v>/////PR:Music___SP:Barney20171020   $0 </v>
      </c>
      <c r="E74" s="21" t="n">
        <f aca="false">CODE(RIGHT(D74,1))</f>
        <v>32</v>
      </c>
      <c r="F74" s="14" t="str">
        <f aca="false">SUBSTITUTE(D74,_xlfn.UNICHAR(160)," ")</f>
        <v>/////PR:Music___SP:Barney20171020   $0 </v>
      </c>
      <c r="G74" s="14" t="str">
        <f aca="false">SUBSTITUTE(F74,"/","")</f>
        <v>PR:Music___SP:Barney20171020   $0 </v>
      </c>
      <c r="H74" s="14" t="str">
        <f aca="false">SUBSTITUTE(G74,"_"," ")</f>
        <v>PR:Music   SP:Barney20171020   $0 </v>
      </c>
      <c r="I74" s="14" t="str">
        <f aca="false">TRIM(H74)</f>
        <v>PR:Music SP:Barney20171020 $0</v>
      </c>
      <c r="J74" s="21" t="n">
        <f aca="false">LEN(I74)</f>
        <v>29</v>
      </c>
      <c r="K74" s="21" t="n">
        <f aca="false">CODE(RIGHT(I74,1))</f>
        <v>48</v>
      </c>
      <c r="L74" s="14" t="str">
        <f aca="false">SUBSTITUTE(I74,"PR:","")</f>
        <v>Music SP:Barney20171020 $0</v>
      </c>
      <c r="M74" s="14" t="str">
        <f aca="false">SUBSTITUTE(L74,"SP:","")</f>
        <v>Music Barney20171020 $0</v>
      </c>
      <c r="N74" s="15" t="str">
        <f aca="false">SUBSTITUTE(M74,"201710"," 201710")</f>
        <v>Music Barney 20171020 $0</v>
      </c>
      <c r="O74" s="21" t="n">
        <f aca="false">FIND(" ",N74)</f>
        <v>6</v>
      </c>
      <c r="P74" s="21" t="n">
        <f aca="false">FIND(" ",N74,O74+1)</f>
        <v>13</v>
      </c>
      <c r="Q74" s="21" t="n">
        <f aca="false">FIND(" ",N74,P74+1)</f>
        <v>22</v>
      </c>
      <c r="R74" s="26" t="str">
        <f aca="false">LEFT(N74,O74-1)</f>
        <v>Music</v>
      </c>
      <c r="S74" s="26" t="str">
        <f aca="false">MID(N74,O74+1,P74-O74-1)</f>
        <v>Barney</v>
      </c>
      <c r="T74" s="26" t="str">
        <f aca="false">MID(N74,P74+1,Q74-P74-1)</f>
        <v>20171020</v>
      </c>
      <c r="U74" s="26" t="n">
        <f aca="false">VALUE(MID(N74,Q74+2,90))</f>
        <v>0</v>
      </c>
      <c r="V74" s="27" t="n">
        <f aca="false">DATE(2017,10,MID(T74,7,2))</f>
        <v>43028</v>
      </c>
    </row>
    <row r="75" customFormat="false" ht="14.25" hidden="false" customHeight="false" outlineLevel="0" collapsed="false">
      <c r="A75" s="23" t="n">
        <f aca="false">A74+1</f>
        <v>71</v>
      </c>
      <c r="B75" s="14" t="s">
        <v>89</v>
      </c>
      <c r="C75" s="21" t="n">
        <f aca="false">CODE(RIGHT(B75,1))</f>
        <v>30</v>
      </c>
      <c r="D75" s="14" t="str">
        <f aca="false">CLEAN(B75)</f>
        <v>/PR:Books__SP:Carol20171021 $582  </v>
      </c>
      <c r="E75" s="21" t="n">
        <f aca="false">CODE(RIGHT(D75,1))</f>
        <v>32</v>
      </c>
      <c r="F75" s="14" t="str">
        <f aca="false">SUBSTITUTE(D75,_xlfn.UNICHAR(160)," ")</f>
        <v>/PR:Books__SP:Carol20171021 $582  </v>
      </c>
      <c r="G75" s="14" t="str">
        <f aca="false">SUBSTITUTE(F75,"/","")</f>
        <v>PR:Books__SP:Carol20171021 $582  </v>
      </c>
      <c r="H75" s="14" t="str">
        <f aca="false">SUBSTITUTE(G75,"_"," ")</f>
        <v>PR:Books  SP:Carol20171021 $582  </v>
      </c>
      <c r="I75" s="14" t="str">
        <f aca="false">TRIM(H75)</f>
        <v>PR:Books SP:Carol20171021 $582</v>
      </c>
      <c r="J75" s="21" t="n">
        <f aca="false">LEN(I75)</f>
        <v>30</v>
      </c>
      <c r="K75" s="21" t="n">
        <f aca="false">CODE(RIGHT(I75,1))</f>
        <v>50</v>
      </c>
      <c r="L75" s="14" t="str">
        <f aca="false">SUBSTITUTE(I75,"PR:","")</f>
        <v>Books SP:Carol20171021 $582</v>
      </c>
      <c r="M75" s="14" t="str">
        <f aca="false">SUBSTITUTE(L75,"SP:","")</f>
        <v>Books Carol20171021 $582</v>
      </c>
      <c r="N75" s="15" t="str">
        <f aca="false">SUBSTITUTE(M75,"201710"," 201710")</f>
        <v>Books Carol 20171021 $582</v>
      </c>
      <c r="O75" s="21" t="n">
        <f aca="false">FIND(" ",N75)</f>
        <v>6</v>
      </c>
      <c r="P75" s="21" t="n">
        <f aca="false">FIND(" ",N75,O75+1)</f>
        <v>12</v>
      </c>
      <c r="Q75" s="21" t="n">
        <f aca="false">FIND(" ",N75,P75+1)</f>
        <v>21</v>
      </c>
      <c r="R75" s="26" t="str">
        <f aca="false">LEFT(N75,O75-1)</f>
        <v>Books</v>
      </c>
      <c r="S75" s="26" t="str">
        <f aca="false">MID(N75,O75+1,P75-O75-1)</f>
        <v>Carol</v>
      </c>
      <c r="T75" s="26" t="str">
        <f aca="false">MID(N75,P75+1,Q75-P75-1)</f>
        <v>20171021</v>
      </c>
      <c r="U75" s="26" t="n">
        <f aca="false">VALUE(MID(N75,Q75+2,90))</f>
        <v>582</v>
      </c>
      <c r="V75" s="27" t="n">
        <f aca="false">DATE(2017,10,MID(T75,7,2))</f>
        <v>43029</v>
      </c>
    </row>
    <row r="76" customFormat="false" ht="14.25" hidden="false" customHeight="false" outlineLevel="0" collapsed="false">
      <c r="A76" s="23" t="n">
        <f aca="false">A75+1</f>
        <v>72</v>
      </c>
      <c r="B76" s="14" t="s">
        <v>90</v>
      </c>
      <c r="C76" s="21" t="n">
        <f aca="false">CODE(RIGHT(B76,1))</f>
        <v>30</v>
      </c>
      <c r="D76" s="14" t="str">
        <f aca="false">CLEAN(B76)</f>
        <v>/////PR:Clothing____SP:Carol20171013   $0   </v>
      </c>
      <c r="E76" s="21" t="n">
        <f aca="false">CODE(RIGHT(D76,1))</f>
        <v>32</v>
      </c>
      <c r="F76" s="14" t="str">
        <f aca="false">SUBSTITUTE(D76,_xlfn.UNICHAR(160)," ")</f>
        <v>/////PR:Clothing____SP:Carol20171013   $0   </v>
      </c>
      <c r="G76" s="14" t="str">
        <f aca="false">SUBSTITUTE(F76,"/","")</f>
        <v>PR:Clothing____SP:Carol20171013   $0   </v>
      </c>
      <c r="H76" s="14" t="str">
        <f aca="false">SUBSTITUTE(G76,"_"," ")</f>
        <v>PR:Clothing    SP:Carol20171013   $0   </v>
      </c>
      <c r="I76" s="14" t="str">
        <f aca="false">TRIM(H76)</f>
        <v>PR:Clothing SP:Carol20171013 $0</v>
      </c>
      <c r="J76" s="21" t="n">
        <f aca="false">LEN(I76)</f>
        <v>31</v>
      </c>
      <c r="K76" s="21" t="n">
        <f aca="false">CODE(RIGHT(I76,1))</f>
        <v>48</v>
      </c>
      <c r="L76" s="14" t="str">
        <f aca="false">SUBSTITUTE(I76,"PR:","")</f>
        <v>Clothing SP:Carol20171013 $0</v>
      </c>
      <c r="M76" s="14" t="str">
        <f aca="false">SUBSTITUTE(L76,"SP:","")</f>
        <v>Clothing Carol20171013 $0</v>
      </c>
      <c r="N76" s="15" t="str">
        <f aca="false">SUBSTITUTE(M76,"201710"," 201710")</f>
        <v>Clothing Carol 20171013 $0</v>
      </c>
      <c r="O76" s="21" t="n">
        <f aca="false">FIND(" ",N76)</f>
        <v>9</v>
      </c>
      <c r="P76" s="21" t="n">
        <f aca="false">FIND(" ",N76,O76+1)</f>
        <v>15</v>
      </c>
      <c r="Q76" s="21" t="n">
        <f aca="false">FIND(" ",N76,P76+1)</f>
        <v>24</v>
      </c>
      <c r="R76" s="26" t="str">
        <f aca="false">LEFT(N76,O76-1)</f>
        <v>Clothing</v>
      </c>
      <c r="S76" s="26" t="str">
        <f aca="false">MID(N76,O76+1,P76-O76-1)</f>
        <v>Carol</v>
      </c>
      <c r="T76" s="26" t="str">
        <f aca="false">MID(N76,P76+1,Q76-P76-1)</f>
        <v>20171013</v>
      </c>
      <c r="U76" s="26" t="n">
        <f aca="false">VALUE(MID(N76,Q76+2,90))</f>
        <v>0</v>
      </c>
      <c r="V76" s="27" t="n">
        <f aca="false">DATE(2017,10,MID(T76,7,2))</f>
        <v>43021</v>
      </c>
    </row>
    <row r="77" customFormat="false" ht="14.25" hidden="false" customHeight="false" outlineLevel="0" collapsed="false">
      <c r="A77" s="23" t="n">
        <f aca="false">A76+1</f>
        <v>73</v>
      </c>
      <c r="B77" s="14" t="s">
        <v>91</v>
      </c>
      <c r="C77" s="21" t="n">
        <f aca="false">CODE(RIGHT(B77,1))</f>
        <v>29</v>
      </c>
      <c r="D77" s="14" t="str">
        <f aca="false">CLEAN(B77)</f>
        <v>///PR:Games___SP:Carol2017109  $893   </v>
      </c>
      <c r="E77" s="21" t="n">
        <f aca="false">CODE(RIGHT(D77,1))</f>
        <v>32</v>
      </c>
      <c r="F77" s="14" t="str">
        <f aca="false">SUBSTITUTE(D77,_xlfn.UNICHAR(160)," ")</f>
        <v>///PR:Games___SP:Carol2017109  $893   </v>
      </c>
      <c r="G77" s="14" t="str">
        <f aca="false">SUBSTITUTE(F77,"/","")</f>
        <v>PR:Games___SP:Carol2017109  $893   </v>
      </c>
      <c r="H77" s="14" t="str">
        <f aca="false">SUBSTITUTE(G77,"_"," ")</f>
        <v>PR:Games   SP:Carol2017109  $893   </v>
      </c>
      <c r="I77" s="14" t="str">
        <f aca="false">TRIM(H77)</f>
        <v>PR:Games SP:Carol2017109 $893</v>
      </c>
      <c r="J77" s="21" t="n">
        <f aca="false">LEN(I77)</f>
        <v>29</v>
      </c>
      <c r="K77" s="21" t="n">
        <f aca="false">CODE(RIGHT(I77,1))</f>
        <v>51</v>
      </c>
      <c r="L77" s="14" t="str">
        <f aca="false">SUBSTITUTE(I77,"PR:","")</f>
        <v>Games SP:Carol2017109 $893</v>
      </c>
      <c r="M77" s="14" t="str">
        <f aca="false">SUBSTITUTE(L77,"SP:","")</f>
        <v>Games Carol2017109 $893</v>
      </c>
      <c r="N77" s="15" t="str">
        <f aca="false">SUBSTITUTE(M77,"201710"," 201710")</f>
        <v>Games Carol 2017109 $893</v>
      </c>
      <c r="O77" s="21" t="n">
        <f aca="false">FIND(" ",N77)</f>
        <v>6</v>
      </c>
      <c r="P77" s="21" t="n">
        <f aca="false">FIND(" ",N77,O77+1)</f>
        <v>12</v>
      </c>
      <c r="Q77" s="21" t="n">
        <f aca="false">FIND(" ",N77,P77+1)</f>
        <v>20</v>
      </c>
      <c r="R77" s="26" t="str">
        <f aca="false">LEFT(N77,O77-1)</f>
        <v>Games</v>
      </c>
      <c r="S77" s="26" t="str">
        <f aca="false">MID(N77,O77+1,P77-O77-1)</f>
        <v>Carol</v>
      </c>
      <c r="T77" s="26" t="str">
        <f aca="false">MID(N77,P77+1,Q77-P77-1)</f>
        <v>2017109</v>
      </c>
      <c r="U77" s="26" t="n">
        <f aca="false">VALUE(MID(N77,Q77+2,90))</f>
        <v>893</v>
      </c>
      <c r="V77" s="27" t="n">
        <f aca="false">DATE(2017,10,MID(T77,7,2))</f>
        <v>43017</v>
      </c>
    </row>
    <row r="78" customFormat="false" ht="14.25" hidden="false" customHeight="false" outlineLevel="0" collapsed="false">
      <c r="A78" s="23" t="n">
        <f aca="false">A77+1</f>
        <v>74</v>
      </c>
      <c r="B78" s="14" t="s">
        <v>92</v>
      </c>
      <c r="C78" s="21" t="n">
        <f aca="false">CODE(RIGHT(B78,1))</f>
        <v>29</v>
      </c>
      <c r="D78" s="14" t="str">
        <f aca="false">CLEAN(B78)</f>
        <v>//PR:Music_____SP:Alice20171012  $1447     </v>
      </c>
      <c r="E78" s="21" t="n">
        <f aca="false">CODE(RIGHT(D78,1))</f>
        <v>32</v>
      </c>
      <c r="F78" s="14" t="str">
        <f aca="false">SUBSTITUTE(D78,_xlfn.UNICHAR(160)," ")</f>
        <v>//PR:Music_____SP:Alice20171012  $1447     </v>
      </c>
      <c r="G78" s="14" t="str">
        <f aca="false">SUBSTITUTE(F78,"/","")</f>
        <v>PR:Music_____SP:Alice20171012  $1447     </v>
      </c>
      <c r="H78" s="14" t="str">
        <f aca="false">SUBSTITUTE(G78,"_"," ")</f>
        <v>PR:Music     SP:Alice20171012  $1447     </v>
      </c>
      <c r="I78" s="14" t="str">
        <f aca="false">TRIM(H78)</f>
        <v>PR:Music SP:Alice20171012 $1447</v>
      </c>
      <c r="J78" s="21" t="n">
        <f aca="false">LEN(I78)</f>
        <v>31</v>
      </c>
      <c r="K78" s="21" t="n">
        <f aca="false">CODE(RIGHT(I78,1))</f>
        <v>55</v>
      </c>
      <c r="L78" s="14" t="str">
        <f aca="false">SUBSTITUTE(I78,"PR:","")</f>
        <v>Music SP:Alice20171012 $1447</v>
      </c>
      <c r="M78" s="14" t="str">
        <f aca="false">SUBSTITUTE(L78,"SP:","")</f>
        <v>Music Alice20171012 $1447</v>
      </c>
      <c r="N78" s="15" t="str">
        <f aca="false">SUBSTITUTE(M78,"201710"," 201710")</f>
        <v>Music Alice 20171012 $1447</v>
      </c>
      <c r="O78" s="21" t="n">
        <f aca="false">FIND(" ",N78)</f>
        <v>6</v>
      </c>
      <c r="P78" s="21" t="n">
        <f aca="false">FIND(" ",N78,O78+1)</f>
        <v>12</v>
      </c>
      <c r="Q78" s="21" t="n">
        <f aca="false">FIND(" ",N78,P78+1)</f>
        <v>21</v>
      </c>
      <c r="R78" s="26" t="str">
        <f aca="false">LEFT(N78,O78-1)</f>
        <v>Music</v>
      </c>
      <c r="S78" s="26" t="str">
        <f aca="false">MID(N78,O78+1,P78-O78-1)</f>
        <v>Alice</v>
      </c>
      <c r="T78" s="26" t="str">
        <f aca="false">MID(N78,P78+1,Q78-P78-1)</f>
        <v>20171012</v>
      </c>
      <c r="U78" s="26" t="n">
        <f aca="false">VALUE(MID(N78,Q78+2,90))</f>
        <v>1447</v>
      </c>
      <c r="V78" s="27" t="n">
        <f aca="false">DATE(2017,10,MID(T78,7,2))</f>
        <v>43020</v>
      </c>
    </row>
    <row r="79" customFormat="false" ht="14.25" hidden="false" customHeight="false" outlineLevel="0" collapsed="false">
      <c r="A79" s="23" t="n">
        <f aca="false">A78+1</f>
        <v>75</v>
      </c>
      <c r="B79" s="14" t="s">
        <v>93</v>
      </c>
      <c r="C79" s="21" t="n">
        <f aca="false">CODE(RIGHT(B79,1))</f>
        <v>29</v>
      </c>
      <c r="D79" s="14" t="str">
        <f aca="false">CLEAN(B79)</f>
        <v>/////PR:Clothing_____SP:Barney20171024    $1395     </v>
      </c>
      <c r="E79" s="21" t="n">
        <f aca="false">CODE(RIGHT(D79,1))</f>
        <v>32</v>
      </c>
      <c r="F79" s="14" t="str">
        <f aca="false">SUBSTITUTE(D79,_xlfn.UNICHAR(160)," ")</f>
        <v>/////PR:Clothing_____SP:Barney20171024    $1395     </v>
      </c>
      <c r="G79" s="14" t="str">
        <f aca="false">SUBSTITUTE(F79,"/","")</f>
        <v>PR:Clothing_____SP:Barney20171024    $1395     </v>
      </c>
      <c r="H79" s="14" t="str">
        <f aca="false">SUBSTITUTE(G79,"_"," ")</f>
        <v>PR:Clothing     SP:Barney20171024    $1395     </v>
      </c>
      <c r="I79" s="14" t="str">
        <f aca="false">TRIM(H79)</f>
        <v>PR:Clothing SP:Barney20171024 $1395</v>
      </c>
      <c r="J79" s="21" t="n">
        <f aca="false">LEN(I79)</f>
        <v>35</v>
      </c>
      <c r="K79" s="21" t="n">
        <f aca="false">CODE(RIGHT(I79,1))</f>
        <v>53</v>
      </c>
      <c r="L79" s="14" t="str">
        <f aca="false">SUBSTITUTE(I79,"PR:","")</f>
        <v>Clothing SP:Barney20171024 $1395</v>
      </c>
      <c r="M79" s="14" t="str">
        <f aca="false">SUBSTITUTE(L79,"SP:","")</f>
        <v>Clothing Barney20171024 $1395</v>
      </c>
      <c r="N79" s="15" t="str">
        <f aca="false">SUBSTITUTE(M79,"201710"," 201710")</f>
        <v>Clothing Barney 20171024 $1395</v>
      </c>
      <c r="O79" s="21" t="n">
        <f aca="false">FIND(" ",N79)</f>
        <v>9</v>
      </c>
      <c r="P79" s="21" t="n">
        <f aca="false">FIND(" ",N79,O79+1)</f>
        <v>16</v>
      </c>
      <c r="Q79" s="21" t="n">
        <f aca="false">FIND(" ",N79,P79+1)</f>
        <v>25</v>
      </c>
      <c r="R79" s="26" t="str">
        <f aca="false">LEFT(N79,O79-1)</f>
        <v>Clothing</v>
      </c>
      <c r="S79" s="26" t="str">
        <f aca="false">MID(N79,O79+1,P79-O79-1)</f>
        <v>Barney</v>
      </c>
      <c r="T79" s="26" t="str">
        <f aca="false">MID(N79,P79+1,Q79-P79-1)</f>
        <v>20171024</v>
      </c>
      <c r="U79" s="26" t="n">
        <f aca="false">VALUE(MID(N79,Q79+2,90))</f>
        <v>1395</v>
      </c>
      <c r="V79" s="27" t="n">
        <f aca="false">DATE(2017,10,MID(T79,7,2))</f>
        <v>43032</v>
      </c>
    </row>
    <row r="80" customFormat="false" ht="14.25" hidden="false" customHeight="false" outlineLevel="0" collapsed="false">
      <c r="A80" s="23" t="n">
        <f aca="false">A79+1</f>
        <v>76</v>
      </c>
      <c r="B80" s="14" t="s">
        <v>94</v>
      </c>
      <c r="C80" s="21" t="n">
        <f aca="false">CODE(RIGHT(B80,1))</f>
        <v>28</v>
      </c>
      <c r="D80" s="14" t="str">
        <f aca="false">CLEAN(B80)</f>
        <v>//PR:Clothing_____SP:Alice20171025     $729  </v>
      </c>
      <c r="E80" s="21" t="n">
        <f aca="false">CODE(RIGHT(D80,1))</f>
        <v>32</v>
      </c>
      <c r="F80" s="14" t="str">
        <f aca="false">SUBSTITUTE(D80,_xlfn.UNICHAR(160)," ")</f>
        <v>//PR:Clothing_____SP:Alice20171025     $729  </v>
      </c>
      <c r="G80" s="14" t="str">
        <f aca="false">SUBSTITUTE(F80,"/","")</f>
        <v>PR:Clothing_____SP:Alice20171025     $729  </v>
      </c>
      <c r="H80" s="14" t="str">
        <f aca="false">SUBSTITUTE(G80,"_"," ")</f>
        <v>PR:Clothing     SP:Alice20171025     $729  </v>
      </c>
      <c r="I80" s="14" t="str">
        <f aca="false">TRIM(H80)</f>
        <v>PR:Clothing SP:Alice20171025 $729</v>
      </c>
      <c r="J80" s="21" t="n">
        <f aca="false">LEN(I80)</f>
        <v>33</v>
      </c>
      <c r="K80" s="21" t="n">
        <f aca="false">CODE(RIGHT(I80,1))</f>
        <v>57</v>
      </c>
      <c r="L80" s="14" t="str">
        <f aca="false">SUBSTITUTE(I80,"PR:","")</f>
        <v>Clothing SP:Alice20171025 $729</v>
      </c>
      <c r="M80" s="14" t="str">
        <f aca="false">SUBSTITUTE(L80,"SP:","")</f>
        <v>Clothing Alice20171025 $729</v>
      </c>
      <c r="N80" s="15" t="str">
        <f aca="false">SUBSTITUTE(M80,"201710"," 201710")</f>
        <v>Clothing Alice 20171025 $729</v>
      </c>
      <c r="O80" s="21" t="n">
        <f aca="false">FIND(" ",N80)</f>
        <v>9</v>
      </c>
      <c r="P80" s="21" t="n">
        <f aca="false">FIND(" ",N80,O80+1)</f>
        <v>15</v>
      </c>
      <c r="Q80" s="21" t="n">
        <f aca="false">FIND(" ",N80,P80+1)</f>
        <v>24</v>
      </c>
      <c r="R80" s="26" t="str">
        <f aca="false">LEFT(N80,O80-1)</f>
        <v>Clothing</v>
      </c>
      <c r="S80" s="26" t="str">
        <f aca="false">MID(N80,O80+1,P80-O80-1)</f>
        <v>Alice</v>
      </c>
      <c r="T80" s="26" t="str">
        <f aca="false">MID(N80,P80+1,Q80-P80-1)</f>
        <v>20171025</v>
      </c>
      <c r="U80" s="26" t="n">
        <f aca="false">VALUE(MID(N80,Q80+2,90))</f>
        <v>729</v>
      </c>
      <c r="V80" s="27" t="n">
        <f aca="false">DATE(2017,10,MID(T80,7,2))</f>
        <v>43033</v>
      </c>
    </row>
    <row r="81" customFormat="false" ht="14.25" hidden="false" customHeight="false" outlineLevel="0" collapsed="false">
      <c r="A81" s="23" t="n">
        <f aca="false">A80+1</f>
        <v>77</v>
      </c>
      <c r="B81" s="14" t="s">
        <v>95</v>
      </c>
      <c r="C81" s="21" t="n">
        <f aca="false">CODE(RIGHT(B81,1))</f>
        <v>30</v>
      </c>
      <c r="D81" s="14" t="str">
        <f aca="false">CLEAN(B81)</f>
        <v>////PR:Clothing___SP:Carol2017104     $819   </v>
      </c>
      <c r="E81" s="21" t="n">
        <f aca="false">CODE(RIGHT(D81,1))</f>
        <v>32</v>
      </c>
      <c r="F81" s="14" t="str">
        <f aca="false">SUBSTITUTE(D81,_xlfn.UNICHAR(160)," ")</f>
        <v>////PR:Clothing___SP:Carol2017104     $819   </v>
      </c>
      <c r="G81" s="14" t="str">
        <f aca="false">SUBSTITUTE(F81,"/","")</f>
        <v>PR:Clothing___SP:Carol2017104     $819   </v>
      </c>
      <c r="H81" s="14" t="str">
        <f aca="false">SUBSTITUTE(G81,"_"," ")</f>
        <v>PR:Clothing   SP:Carol2017104     $819   </v>
      </c>
      <c r="I81" s="14" t="str">
        <f aca="false">TRIM(H81)</f>
        <v>PR:Clothing SP:Carol2017104 $819</v>
      </c>
      <c r="J81" s="21" t="n">
        <f aca="false">LEN(I81)</f>
        <v>32</v>
      </c>
      <c r="K81" s="21" t="n">
        <f aca="false">CODE(RIGHT(I81,1))</f>
        <v>57</v>
      </c>
      <c r="L81" s="14" t="str">
        <f aca="false">SUBSTITUTE(I81,"PR:","")</f>
        <v>Clothing SP:Carol2017104 $819</v>
      </c>
      <c r="M81" s="14" t="str">
        <f aca="false">SUBSTITUTE(L81,"SP:","")</f>
        <v>Clothing Carol2017104 $819</v>
      </c>
      <c r="N81" s="15" t="str">
        <f aca="false">SUBSTITUTE(M81,"201710"," 201710")</f>
        <v>Clothing Carol 2017104 $819</v>
      </c>
      <c r="O81" s="21" t="n">
        <f aca="false">FIND(" ",N81)</f>
        <v>9</v>
      </c>
      <c r="P81" s="21" t="n">
        <f aca="false">FIND(" ",N81,O81+1)</f>
        <v>15</v>
      </c>
      <c r="Q81" s="21" t="n">
        <f aca="false">FIND(" ",N81,P81+1)</f>
        <v>23</v>
      </c>
      <c r="R81" s="26" t="str">
        <f aca="false">LEFT(N81,O81-1)</f>
        <v>Clothing</v>
      </c>
      <c r="S81" s="26" t="str">
        <f aca="false">MID(N81,O81+1,P81-O81-1)</f>
        <v>Carol</v>
      </c>
      <c r="T81" s="26" t="str">
        <f aca="false">MID(N81,P81+1,Q81-P81-1)</f>
        <v>2017104</v>
      </c>
      <c r="U81" s="26" t="n">
        <f aca="false">VALUE(MID(N81,Q81+2,90))</f>
        <v>819</v>
      </c>
      <c r="V81" s="27" t="n">
        <f aca="false">DATE(2017,10,MID(T81,7,2))</f>
        <v>43012</v>
      </c>
    </row>
    <row r="82" customFormat="false" ht="14.25" hidden="false" customHeight="false" outlineLevel="0" collapsed="false">
      <c r="A82" s="23" t="n">
        <f aca="false">A81+1</f>
        <v>78</v>
      </c>
      <c r="B82" s="14" t="s">
        <v>96</v>
      </c>
      <c r="C82" s="21" t="n">
        <f aca="false">CODE(RIGHT(B82,1))</f>
        <v>28</v>
      </c>
      <c r="D82" s="14" t="str">
        <f aca="false">CLEAN(B82)</f>
        <v>/PR:Clothing__SP:David20171024     $0   </v>
      </c>
      <c r="E82" s="21" t="n">
        <f aca="false">CODE(RIGHT(D82,1))</f>
        <v>32</v>
      </c>
      <c r="F82" s="14" t="str">
        <f aca="false">SUBSTITUTE(D82,_xlfn.UNICHAR(160)," ")</f>
        <v>/PR:Clothing__SP:David20171024     $0   </v>
      </c>
      <c r="G82" s="14" t="str">
        <f aca="false">SUBSTITUTE(F82,"/","")</f>
        <v>PR:Clothing__SP:David20171024     $0   </v>
      </c>
      <c r="H82" s="14" t="str">
        <f aca="false">SUBSTITUTE(G82,"_"," ")</f>
        <v>PR:Clothing  SP:David20171024     $0   </v>
      </c>
      <c r="I82" s="14" t="str">
        <f aca="false">TRIM(H82)</f>
        <v>PR:Clothing SP:David20171024 $0</v>
      </c>
      <c r="J82" s="21" t="n">
        <f aca="false">LEN(I82)</f>
        <v>31</v>
      </c>
      <c r="K82" s="21" t="n">
        <f aca="false">CODE(RIGHT(I82,1))</f>
        <v>48</v>
      </c>
      <c r="L82" s="14" t="str">
        <f aca="false">SUBSTITUTE(I82,"PR:","")</f>
        <v>Clothing SP:David20171024 $0</v>
      </c>
      <c r="M82" s="14" t="str">
        <f aca="false">SUBSTITUTE(L82,"SP:","")</f>
        <v>Clothing David20171024 $0</v>
      </c>
      <c r="N82" s="15" t="str">
        <f aca="false">SUBSTITUTE(M82,"201710"," 201710")</f>
        <v>Clothing David 20171024 $0</v>
      </c>
      <c r="O82" s="21" t="n">
        <f aca="false">FIND(" ",N82)</f>
        <v>9</v>
      </c>
      <c r="P82" s="21" t="n">
        <f aca="false">FIND(" ",N82,O82+1)</f>
        <v>15</v>
      </c>
      <c r="Q82" s="21" t="n">
        <f aca="false">FIND(" ",N82,P82+1)</f>
        <v>24</v>
      </c>
      <c r="R82" s="26" t="str">
        <f aca="false">LEFT(N82,O82-1)</f>
        <v>Clothing</v>
      </c>
      <c r="S82" s="26" t="str">
        <f aca="false">MID(N82,O82+1,P82-O82-1)</f>
        <v>David</v>
      </c>
      <c r="T82" s="26" t="str">
        <f aca="false">MID(N82,P82+1,Q82-P82-1)</f>
        <v>20171024</v>
      </c>
      <c r="U82" s="26" t="n">
        <f aca="false">VALUE(MID(N82,Q82+2,90))</f>
        <v>0</v>
      </c>
      <c r="V82" s="27" t="n">
        <f aca="false">DATE(2017,10,MID(T82,7,2))</f>
        <v>43032</v>
      </c>
    </row>
    <row r="83" customFormat="false" ht="14.25" hidden="false" customHeight="false" outlineLevel="0" collapsed="false">
      <c r="A83" s="23" t="n">
        <f aca="false">A82+1</f>
        <v>79</v>
      </c>
      <c r="B83" s="14" t="s">
        <v>97</v>
      </c>
      <c r="C83" s="21" t="n">
        <f aca="false">CODE(RIGHT(B83,1))</f>
        <v>28</v>
      </c>
      <c r="D83" s="14" t="str">
        <f aca="false">CLEAN(B83)</f>
        <v>///PR:Games__SP:David20171025     $1409     </v>
      </c>
      <c r="E83" s="21" t="n">
        <f aca="false">CODE(RIGHT(D83,1))</f>
        <v>32</v>
      </c>
      <c r="F83" s="14" t="str">
        <f aca="false">SUBSTITUTE(D83,_xlfn.UNICHAR(160)," ")</f>
        <v>///PR:Games__SP:David20171025     $1409     </v>
      </c>
      <c r="G83" s="14" t="str">
        <f aca="false">SUBSTITUTE(F83,"/","")</f>
        <v>PR:Games__SP:David20171025     $1409     </v>
      </c>
      <c r="H83" s="14" t="str">
        <f aca="false">SUBSTITUTE(G83,"_"," ")</f>
        <v>PR:Games  SP:David20171025     $1409     </v>
      </c>
      <c r="I83" s="14" t="str">
        <f aca="false">TRIM(H83)</f>
        <v>PR:Games SP:David20171025 $1409</v>
      </c>
      <c r="J83" s="21" t="n">
        <f aca="false">LEN(I83)</f>
        <v>31</v>
      </c>
      <c r="K83" s="21" t="n">
        <f aca="false">CODE(RIGHT(I83,1))</f>
        <v>57</v>
      </c>
      <c r="L83" s="14" t="str">
        <f aca="false">SUBSTITUTE(I83,"PR:","")</f>
        <v>Games SP:David20171025 $1409</v>
      </c>
      <c r="M83" s="14" t="str">
        <f aca="false">SUBSTITUTE(L83,"SP:","")</f>
        <v>Games David20171025 $1409</v>
      </c>
      <c r="N83" s="15" t="str">
        <f aca="false">SUBSTITUTE(M83,"201710"," 201710")</f>
        <v>Games David 20171025 $1409</v>
      </c>
      <c r="O83" s="21" t="n">
        <f aca="false">FIND(" ",N83)</f>
        <v>6</v>
      </c>
      <c r="P83" s="21" t="n">
        <f aca="false">FIND(" ",N83,O83+1)</f>
        <v>12</v>
      </c>
      <c r="Q83" s="21" t="n">
        <f aca="false">FIND(" ",N83,P83+1)</f>
        <v>21</v>
      </c>
      <c r="R83" s="26" t="str">
        <f aca="false">LEFT(N83,O83-1)</f>
        <v>Games</v>
      </c>
      <c r="S83" s="26" t="str">
        <f aca="false">MID(N83,O83+1,P83-O83-1)</f>
        <v>David</v>
      </c>
      <c r="T83" s="26" t="str">
        <f aca="false">MID(N83,P83+1,Q83-P83-1)</f>
        <v>20171025</v>
      </c>
      <c r="U83" s="26" t="n">
        <f aca="false">VALUE(MID(N83,Q83+2,90))</f>
        <v>1409</v>
      </c>
      <c r="V83" s="27" t="n">
        <f aca="false">DATE(2017,10,MID(T83,7,2))</f>
        <v>43033</v>
      </c>
    </row>
    <row r="84" customFormat="false" ht="14.25" hidden="false" customHeight="false" outlineLevel="0" collapsed="false">
      <c r="A84" s="23" t="n">
        <f aca="false">A83+1</f>
        <v>80</v>
      </c>
      <c r="B84" s="14" t="s">
        <v>98</v>
      </c>
      <c r="C84" s="21" t="n">
        <f aca="false">CODE(RIGHT(B84,1))</f>
        <v>29</v>
      </c>
      <c r="D84" s="14" t="str">
        <f aca="false">CLEAN(B84)</f>
        <v>/////PR:Games____SP:David20171028    $1628   </v>
      </c>
      <c r="E84" s="21" t="n">
        <f aca="false">CODE(RIGHT(D84,1))</f>
        <v>32</v>
      </c>
      <c r="F84" s="14" t="str">
        <f aca="false">SUBSTITUTE(D84,_xlfn.UNICHAR(160)," ")</f>
        <v>/////PR:Games____SP:David20171028    $1628   </v>
      </c>
      <c r="G84" s="14" t="str">
        <f aca="false">SUBSTITUTE(F84,"/","")</f>
        <v>PR:Games____SP:David20171028    $1628   </v>
      </c>
      <c r="H84" s="14" t="str">
        <f aca="false">SUBSTITUTE(G84,"_"," ")</f>
        <v>PR:Games    SP:David20171028    $1628   </v>
      </c>
      <c r="I84" s="14" t="str">
        <f aca="false">TRIM(H84)</f>
        <v>PR:Games SP:David20171028 $1628</v>
      </c>
      <c r="J84" s="21" t="n">
        <f aca="false">LEN(I84)</f>
        <v>31</v>
      </c>
      <c r="K84" s="21" t="n">
        <f aca="false">CODE(RIGHT(I84,1))</f>
        <v>56</v>
      </c>
      <c r="L84" s="14" t="str">
        <f aca="false">SUBSTITUTE(I84,"PR:","")</f>
        <v>Games SP:David20171028 $1628</v>
      </c>
      <c r="M84" s="14" t="str">
        <f aca="false">SUBSTITUTE(L84,"SP:","")</f>
        <v>Games David20171028 $1628</v>
      </c>
      <c r="N84" s="15" t="str">
        <f aca="false">SUBSTITUTE(M84,"201710"," 201710")</f>
        <v>Games David 20171028 $1628</v>
      </c>
      <c r="O84" s="21" t="n">
        <f aca="false">FIND(" ",N84)</f>
        <v>6</v>
      </c>
      <c r="P84" s="21" t="n">
        <f aca="false">FIND(" ",N84,O84+1)</f>
        <v>12</v>
      </c>
      <c r="Q84" s="21" t="n">
        <f aca="false">FIND(" ",N84,P84+1)</f>
        <v>21</v>
      </c>
      <c r="R84" s="26" t="str">
        <f aca="false">LEFT(N84,O84-1)</f>
        <v>Games</v>
      </c>
      <c r="S84" s="26" t="str">
        <f aca="false">MID(N84,O84+1,P84-O84-1)</f>
        <v>David</v>
      </c>
      <c r="T84" s="26" t="str">
        <f aca="false">MID(N84,P84+1,Q84-P84-1)</f>
        <v>20171028</v>
      </c>
      <c r="U84" s="26" t="n">
        <f aca="false">VALUE(MID(N84,Q84+2,90))</f>
        <v>1628</v>
      </c>
      <c r="V84" s="27" t="n">
        <f aca="false">DATE(2017,10,MID(T84,7,2))</f>
        <v>43036</v>
      </c>
    </row>
    <row r="85" customFormat="false" ht="14.25" hidden="false" customHeight="false" outlineLevel="0" collapsed="false">
      <c r="A85" s="23" t="n">
        <f aca="false">A84+1</f>
        <v>81</v>
      </c>
      <c r="B85" s="14" t="s">
        <v>99</v>
      </c>
      <c r="C85" s="21" t="n">
        <f aca="false">CODE(RIGHT(B85,1))</f>
        <v>31</v>
      </c>
      <c r="D85" s="14" t="str">
        <f aca="false">CLEAN(B85)</f>
        <v>/PR:Music_SP:David20171030 $0  </v>
      </c>
      <c r="E85" s="21" t="n">
        <f aca="false">CODE(RIGHT(D85,1))</f>
        <v>32</v>
      </c>
      <c r="F85" s="14" t="str">
        <f aca="false">SUBSTITUTE(D85,_xlfn.UNICHAR(160)," ")</f>
        <v>/PR:Music_SP:David20171030 $0  </v>
      </c>
      <c r="G85" s="14" t="str">
        <f aca="false">SUBSTITUTE(F85,"/","")</f>
        <v>PR:Music_SP:David20171030 $0  </v>
      </c>
      <c r="H85" s="14" t="str">
        <f aca="false">SUBSTITUTE(G85,"_"," ")</f>
        <v>PR:Music SP:David20171030 $0  </v>
      </c>
      <c r="I85" s="14" t="str">
        <f aca="false">TRIM(H85)</f>
        <v>PR:Music SP:David20171030 $0</v>
      </c>
      <c r="J85" s="21" t="n">
        <f aca="false">LEN(I85)</f>
        <v>28</v>
      </c>
      <c r="K85" s="21" t="n">
        <f aca="false">CODE(RIGHT(I85,1))</f>
        <v>48</v>
      </c>
      <c r="L85" s="14" t="str">
        <f aca="false">SUBSTITUTE(I85,"PR:","")</f>
        <v>Music SP:David20171030 $0</v>
      </c>
      <c r="M85" s="14" t="str">
        <f aca="false">SUBSTITUTE(L85,"SP:","")</f>
        <v>Music David20171030 $0</v>
      </c>
      <c r="N85" s="15" t="str">
        <f aca="false">SUBSTITUTE(M85,"201710"," 201710")</f>
        <v>Music David 20171030 $0</v>
      </c>
      <c r="O85" s="21" t="n">
        <f aca="false">FIND(" ",N85)</f>
        <v>6</v>
      </c>
      <c r="P85" s="21" t="n">
        <f aca="false">FIND(" ",N85,O85+1)</f>
        <v>12</v>
      </c>
      <c r="Q85" s="21" t="n">
        <f aca="false">FIND(" ",N85,P85+1)</f>
        <v>21</v>
      </c>
      <c r="R85" s="26" t="str">
        <f aca="false">LEFT(N85,O85-1)</f>
        <v>Music</v>
      </c>
      <c r="S85" s="26" t="str">
        <f aca="false">MID(N85,O85+1,P85-O85-1)</f>
        <v>David</v>
      </c>
      <c r="T85" s="26" t="str">
        <f aca="false">MID(N85,P85+1,Q85-P85-1)</f>
        <v>20171030</v>
      </c>
      <c r="U85" s="26" t="n">
        <f aca="false">VALUE(MID(N85,Q85+2,90))</f>
        <v>0</v>
      </c>
      <c r="V85" s="27" t="n">
        <f aca="false">DATE(2017,10,MID(T85,7,2))</f>
        <v>43038</v>
      </c>
    </row>
    <row r="86" customFormat="false" ht="14.25" hidden="false" customHeight="false" outlineLevel="0" collapsed="false">
      <c r="A86" s="23" t="n">
        <f aca="false">A85+1</f>
        <v>82</v>
      </c>
      <c r="B86" s="14" t="s">
        <v>100</v>
      </c>
      <c r="C86" s="21" t="n">
        <f aca="false">CODE(RIGHT(B86,1))</f>
        <v>28</v>
      </c>
      <c r="D86" s="14" t="str">
        <f aca="false">CLEAN(B86)</f>
        <v>//PR:Games___SP:Alice20171030 $1228 </v>
      </c>
      <c r="E86" s="21" t="n">
        <f aca="false">CODE(RIGHT(D86,1))</f>
        <v>32</v>
      </c>
      <c r="F86" s="14" t="str">
        <f aca="false">SUBSTITUTE(D86,_xlfn.UNICHAR(160)," ")</f>
        <v>//PR:Games___SP:Alice20171030 $1228 </v>
      </c>
      <c r="G86" s="14" t="str">
        <f aca="false">SUBSTITUTE(F86,"/","")</f>
        <v>PR:Games___SP:Alice20171030 $1228 </v>
      </c>
      <c r="H86" s="14" t="str">
        <f aca="false">SUBSTITUTE(G86,"_"," ")</f>
        <v>PR:Games   SP:Alice20171030 $1228 </v>
      </c>
      <c r="I86" s="14" t="str">
        <f aca="false">TRIM(H86)</f>
        <v>PR:Games SP:Alice20171030 $1228</v>
      </c>
      <c r="J86" s="21" t="n">
        <f aca="false">LEN(I86)</f>
        <v>31</v>
      </c>
      <c r="K86" s="21" t="n">
        <f aca="false">CODE(RIGHT(I86,1))</f>
        <v>56</v>
      </c>
      <c r="L86" s="14" t="str">
        <f aca="false">SUBSTITUTE(I86,"PR:","")</f>
        <v>Games SP:Alice20171030 $1228</v>
      </c>
      <c r="M86" s="14" t="str">
        <f aca="false">SUBSTITUTE(L86,"SP:","")</f>
        <v>Games Alice20171030 $1228</v>
      </c>
      <c r="N86" s="15" t="str">
        <f aca="false">SUBSTITUTE(M86,"201710"," 201710")</f>
        <v>Games Alice 20171030 $1228</v>
      </c>
      <c r="O86" s="21" t="n">
        <f aca="false">FIND(" ",N86)</f>
        <v>6</v>
      </c>
      <c r="P86" s="21" t="n">
        <f aca="false">FIND(" ",N86,O86+1)</f>
        <v>12</v>
      </c>
      <c r="Q86" s="21" t="n">
        <f aca="false">FIND(" ",N86,P86+1)</f>
        <v>21</v>
      </c>
      <c r="R86" s="26" t="str">
        <f aca="false">LEFT(N86,O86-1)</f>
        <v>Games</v>
      </c>
      <c r="S86" s="26" t="str">
        <f aca="false">MID(N86,O86+1,P86-O86-1)</f>
        <v>Alice</v>
      </c>
      <c r="T86" s="26" t="str">
        <f aca="false">MID(N86,P86+1,Q86-P86-1)</f>
        <v>20171030</v>
      </c>
      <c r="U86" s="26" t="n">
        <f aca="false">VALUE(MID(N86,Q86+2,90))</f>
        <v>1228</v>
      </c>
      <c r="V86" s="27" t="n">
        <f aca="false">DATE(2017,10,MID(T86,7,2))</f>
        <v>43038</v>
      </c>
    </row>
    <row r="87" customFormat="false" ht="14.25" hidden="false" customHeight="false" outlineLevel="0" collapsed="false">
      <c r="A87" s="23" t="n">
        <f aca="false">A86+1</f>
        <v>83</v>
      </c>
      <c r="B87" s="14" t="s">
        <v>101</v>
      </c>
      <c r="C87" s="21" t="n">
        <f aca="false">CODE(RIGHT(B87,1))</f>
        <v>28</v>
      </c>
      <c r="D87" s="14" t="str">
        <f aca="false">CLEAN(B87)</f>
        <v>////PR:Music_____SP:Carol20171018   $1232    </v>
      </c>
      <c r="E87" s="21" t="n">
        <f aca="false">CODE(RIGHT(D87,1))</f>
        <v>32</v>
      </c>
      <c r="F87" s="14" t="str">
        <f aca="false">SUBSTITUTE(D87,_xlfn.UNICHAR(160)," ")</f>
        <v>////PR:Music_____SP:Carol20171018   $1232    </v>
      </c>
      <c r="G87" s="14" t="str">
        <f aca="false">SUBSTITUTE(F87,"/","")</f>
        <v>PR:Music_____SP:Carol20171018   $1232    </v>
      </c>
      <c r="H87" s="14" t="str">
        <f aca="false">SUBSTITUTE(G87,"_"," ")</f>
        <v>PR:Music     SP:Carol20171018   $1232    </v>
      </c>
      <c r="I87" s="14" t="str">
        <f aca="false">TRIM(H87)</f>
        <v>PR:Music SP:Carol20171018 $1232</v>
      </c>
      <c r="J87" s="21" t="n">
        <f aca="false">LEN(I87)</f>
        <v>31</v>
      </c>
      <c r="K87" s="21" t="n">
        <f aca="false">CODE(RIGHT(I87,1))</f>
        <v>50</v>
      </c>
      <c r="L87" s="14" t="str">
        <f aca="false">SUBSTITUTE(I87,"PR:","")</f>
        <v>Music SP:Carol20171018 $1232</v>
      </c>
      <c r="M87" s="14" t="str">
        <f aca="false">SUBSTITUTE(L87,"SP:","")</f>
        <v>Music Carol20171018 $1232</v>
      </c>
      <c r="N87" s="15" t="str">
        <f aca="false">SUBSTITUTE(M87,"201710"," 201710")</f>
        <v>Music Carol 20171018 $1232</v>
      </c>
      <c r="O87" s="21" t="n">
        <f aca="false">FIND(" ",N87)</f>
        <v>6</v>
      </c>
      <c r="P87" s="21" t="n">
        <f aca="false">FIND(" ",N87,O87+1)</f>
        <v>12</v>
      </c>
      <c r="Q87" s="21" t="n">
        <f aca="false">FIND(" ",N87,P87+1)</f>
        <v>21</v>
      </c>
      <c r="R87" s="26" t="str">
        <f aca="false">LEFT(N87,O87-1)</f>
        <v>Music</v>
      </c>
      <c r="S87" s="26" t="str">
        <f aca="false">MID(N87,O87+1,P87-O87-1)</f>
        <v>Carol</v>
      </c>
      <c r="T87" s="26" t="str">
        <f aca="false">MID(N87,P87+1,Q87-P87-1)</f>
        <v>20171018</v>
      </c>
      <c r="U87" s="26" t="n">
        <f aca="false">VALUE(MID(N87,Q87+2,90))</f>
        <v>1232</v>
      </c>
      <c r="V87" s="27" t="n">
        <f aca="false">DATE(2017,10,MID(T87,7,2))</f>
        <v>43026</v>
      </c>
    </row>
    <row r="88" customFormat="false" ht="14.25" hidden="false" customHeight="false" outlineLevel="0" collapsed="false">
      <c r="A88" s="23" t="n">
        <f aca="false">A87+1</f>
        <v>84</v>
      </c>
      <c r="B88" s="14" t="s">
        <v>102</v>
      </c>
      <c r="C88" s="21" t="n">
        <f aca="false">CODE(RIGHT(B88,1))</f>
        <v>28</v>
      </c>
      <c r="D88" s="14" t="str">
        <f aca="false">CLEAN(B88)</f>
        <v>///PR:Clothing___SP:Barney20171029   $754 </v>
      </c>
      <c r="E88" s="21" t="n">
        <f aca="false">CODE(RIGHT(D88,1))</f>
        <v>32</v>
      </c>
      <c r="F88" s="14" t="str">
        <f aca="false">SUBSTITUTE(D88,_xlfn.UNICHAR(160)," ")</f>
        <v>///PR:Clothing___SP:Barney20171029   $754 </v>
      </c>
      <c r="G88" s="14" t="str">
        <f aca="false">SUBSTITUTE(F88,"/","")</f>
        <v>PR:Clothing___SP:Barney20171029   $754 </v>
      </c>
      <c r="H88" s="14" t="str">
        <f aca="false">SUBSTITUTE(G88,"_"," ")</f>
        <v>PR:Clothing   SP:Barney20171029   $754 </v>
      </c>
      <c r="I88" s="14" t="str">
        <f aca="false">TRIM(H88)</f>
        <v>PR:Clothing SP:Barney20171029 $754</v>
      </c>
      <c r="J88" s="21" t="n">
        <f aca="false">LEN(I88)</f>
        <v>34</v>
      </c>
      <c r="K88" s="21" t="n">
        <f aca="false">CODE(RIGHT(I88,1))</f>
        <v>52</v>
      </c>
      <c r="L88" s="14" t="str">
        <f aca="false">SUBSTITUTE(I88,"PR:","")</f>
        <v>Clothing SP:Barney20171029 $754</v>
      </c>
      <c r="M88" s="14" t="str">
        <f aca="false">SUBSTITUTE(L88,"SP:","")</f>
        <v>Clothing Barney20171029 $754</v>
      </c>
      <c r="N88" s="15" t="str">
        <f aca="false">SUBSTITUTE(M88,"201710"," 201710")</f>
        <v>Clothing Barney 20171029 $754</v>
      </c>
      <c r="O88" s="21" t="n">
        <f aca="false">FIND(" ",N88)</f>
        <v>9</v>
      </c>
      <c r="P88" s="21" t="n">
        <f aca="false">FIND(" ",N88,O88+1)</f>
        <v>16</v>
      </c>
      <c r="Q88" s="21" t="n">
        <f aca="false">FIND(" ",N88,P88+1)</f>
        <v>25</v>
      </c>
      <c r="R88" s="26" t="str">
        <f aca="false">LEFT(N88,O88-1)</f>
        <v>Clothing</v>
      </c>
      <c r="S88" s="26" t="str">
        <f aca="false">MID(N88,O88+1,P88-O88-1)</f>
        <v>Barney</v>
      </c>
      <c r="T88" s="26" t="str">
        <f aca="false">MID(N88,P88+1,Q88-P88-1)</f>
        <v>20171029</v>
      </c>
      <c r="U88" s="26" t="n">
        <f aca="false">VALUE(MID(N88,Q88+2,90))</f>
        <v>754</v>
      </c>
      <c r="V88" s="27" t="n">
        <f aca="false">DATE(2017,10,MID(T88,7,2))</f>
        <v>43037</v>
      </c>
    </row>
    <row r="89" customFormat="false" ht="14.25" hidden="false" customHeight="false" outlineLevel="0" collapsed="false">
      <c r="A89" s="23" t="n">
        <f aca="false">A88+1</f>
        <v>85</v>
      </c>
      <c r="B89" s="14" t="s">
        <v>103</v>
      </c>
      <c r="C89" s="21" t="n">
        <f aca="false">CODE(RIGHT(B89,1))</f>
        <v>30</v>
      </c>
      <c r="D89" s="14" t="str">
        <f aca="false">CLEAN(B89)</f>
        <v>//PR:Clothing_____SP:Carol20171023     $1234     </v>
      </c>
      <c r="E89" s="21" t="n">
        <f aca="false">CODE(RIGHT(D89,1))</f>
        <v>32</v>
      </c>
      <c r="F89" s="14" t="str">
        <f aca="false">SUBSTITUTE(D89,_xlfn.UNICHAR(160)," ")</f>
        <v>//PR:Clothing_____SP:Carol20171023     $1234     </v>
      </c>
      <c r="G89" s="14" t="str">
        <f aca="false">SUBSTITUTE(F89,"/","")</f>
        <v>PR:Clothing_____SP:Carol20171023     $1234     </v>
      </c>
      <c r="H89" s="14" t="str">
        <f aca="false">SUBSTITUTE(G89,"_"," ")</f>
        <v>PR:Clothing     SP:Carol20171023     $1234     </v>
      </c>
      <c r="I89" s="14" t="str">
        <f aca="false">TRIM(H89)</f>
        <v>PR:Clothing SP:Carol20171023 $1234</v>
      </c>
      <c r="J89" s="21" t="n">
        <f aca="false">LEN(I89)</f>
        <v>34</v>
      </c>
      <c r="K89" s="21" t="n">
        <f aca="false">CODE(RIGHT(I89,1))</f>
        <v>52</v>
      </c>
      <c r="L89" s="14" t="str">
        <f aca="false">SUBSTITUTE(I89,"PR:","")</f>
        <v>Clothing SP:Carol20171023 $1234</v>
      </c>
      <c r="M89" s="14" t="str">
        <f aca="false">SUBSTITUTE(L89,"SP:","")</f>
        <v>Clothing Carol20171023 $1234</v>
      </c>
      <c r="N89" s="15" t="str">
        <f aca="false">SUBSTITUTE(M89,"201710"," 201710")</f>
        <v>Clothing Carol 20171023 $1234</v>
      </c>
      <c r="O89" s="21" t="n">
        <f aca="false">FIND(" ",N89)</f>
        <v>9</v>
      </c>
      <c r="P89" s="21" t="n">
        <f aca="false">FIND(" ",N89,O89+1)</f>
        <v>15</v>
      </c>
      <c r="Q89" s="21" t="n">
        <f aca="false">FIND(" ",N89,P89+1)</f>
        <v>24</v>
      </c>
      <c r="R89" s="26" t="str">
        <f aca="false">LEFT(N89,O89-1)</f>
        <v>Clothing</v>
      </c>
      <c r="S89" s="26" t="str">
        <f aca="false">MID(N89,O89+1,P89-O89-1)</f>
        <v>Carol</v>
      </c>
      <c r="T89" s="26" t="str">
        <f aca="false">MID(N89,P89+1,Q89-P89-1)</f>
        <v>20171023</v>
      </c>
      <c r="U89" s="26" t="n">
        <f aca="false">VALUE(MID(N89,Q89+2,90))</f>
        <v>1234</v>
      </c>
      <c r="V89" s="27" t="n">
        <f aca="false">DATE(2017,10,MID(T89,7,2))</f>
        <v>43031</v>
      </c>
    </row>
    <row r="90" customFormat="false" ht="14.25" hidden="false" customHeight="false" outlineLevel="0" collapsed="false">
      <c r="A90" s="23" t="n">
        <f aca="false">A89+1</f>
        <v>86</v>
      </c>
      <c r="B90" s="14" t="s">
        <v>104</v>
      </c>
      <c r="C90" s="21" t="n">
        <f aca="false">CODE(RIGHT(B90,1))</f>
        <v>29</v>
      </c>
      <c r="D90" s="14" t="str">
        <f aca="false">CLEAN(B90)</f>
        <v>////PR:Music_____SP:Barney2017102    $927     </v>
      </c>
      <c r="E90" s="21" t="n">
        <f aca="false">CODE(RIGHT(D90,1))</f>
        <v>32</v>
      </c>
      <c r="F90" s="14" t="str">
        <f aca="false">SUBSTITUTE(D90,_xlfn.UNICHAR(160)," ")</f>
        <v>////PR:Music_____SP:Barney2017102    $927     </v>
      </c>
      <c r="G90" s="14" t="str">
        <f aca="false">SUBSTITUTE(F90,"/","")</f>
        <v>PR:Music_____SP:Barney2017102    $927     </v>
      </c>
      <c r="H90" s="14" t="str">
        <f aca="false">SUBSTITUTE(G90,"_"," ")</f>
        <v>PR:Music     SP:Barney2017102    $927     </v>
      </c>
      <c r="I90" s="14" t="str">
        <f aca="false">TRIM(H90)</f>
        <v>PR:Music SP:Barney2017102 $927</v>
      </c>
      <c r="J90" s="21" t="n">
        <f aca="false">LEN(I90)</f>
        <v>30</v>
      </c>
      <c r="K90" s="21" t="n">
        <f aca="false">CODE(RIGHT(I90,1))</f>
        <v>55</v>
      </c>
      <c r="L90" s="14" t="str">
        <f aca="false">SUBSTITUTE(I90,"PR:","")</f>
        <v>Music SP:Barney2017102 $927</v>
      </c>
      <c r="M90" s="14" t="str">
        <f aca="false">SUBSTITUTE(L90,"SP:","")</f>
        <v>Music Barney2017102 $927</v>
      </c>
      <c r="N90" s="15" t="str">
        <f aca="false">SUBSTITUTE(M90,"201710"," 201710")</f>
        <v>Music Barney 2017102 $927</v>
      </c>
      <c r="O90" s="21" t="n">
        <f aca="false">FIND(" ",N90)</f>
        <v>6</v>
      </c>
      <c r="P90" s="21" t="n">
        <f aca="false">FIND(" ",N90,O90+1)</f>
        <v>13</v>
      </c>
      <c r="Q90" s="21" t="n">
        <f aca="false">FIND(" ",N90,P90+1)</f>
        <v>21</v>
      </c>
      <c r="R90" s="26" t="str">
        <f aca="false">LEFT(N90,O90-1)</f>
        <v>Music</v>
      </c>
      <c r="S90" s="26" t="str">
        <f aca="false">MID(N90,O90+1,P90-O90-1)</f>
        <v>Barney</v>
      </c>
      <c r="T90" s="26" t="str">
        <f aca="false">MID(N90,P90+1,Q90-P90-1)</f>
        <v>2017102</v>
      </c>
      <c r="U90" s="26" t="n">
        <f aca="false">VALUE(MID(N90,Q90+2,90))</f>
        <v>927</v>
      </c>
      <c r="V90" s="27" t="n">
        <f aca="false">DATE(2017,10,MID(T90,7,2))</f>
        <v>43010</v>
      </c>
    </row>
    <row r="91" customFormat="false" ht="14.25" hidden="false" customHeight="false" outlineLevel="0" collapsed="false">
      <c r="A91" s="23" t="n">
        <f aca="false">A90+1</f>
        <v>87</v>
      </c>
      <c r="B91" s="14" t="s">
        <v>105</v>
      </c>
      <c r="C91" s="21" t="n">
        <f aca="false">CODE(RIGHT(B91,1))</f>
        <v>31</v>
      </c>
      <c r="D91" s="14" t="str">
        <f aca="false">CLEAN(B91)</f>
        <v>//PR:Clothing_SP:Barney2017107 $1419 </v>
      </c>
      <c r="E91" s="21" t="n">
        <f aca="false">CODE(RIGHT(D91,1))</f>
        <v>32</v>
      </c>
      <c r="F91" s="14" t="str">
        <f aca="false">SUBSTITUTE(D91,_xlfn.UNICHAR(160)," ")</f>
        <v>//PR:Clothing_SP:Barney2017107 $1419 </v>
      </c>
      <c r="G91" s="14" t="str">
        <f aca="false">SUBSTITUTE(F91,"/","")</f>
        <v>PR:Clothing_SP:Barney2017107 $1419 </v>
      </c>
      <c r="H91" s="14" t="str">
        <f aca="false">SUBSTITUTE(G91,"_"," ")</f>
        <v>PR:Clothing SP:Barney2017107 $1419 </v>
      </c>
      <c r="I91" s="14" t="str">
        <f aca="false">TRIM(H91)</f>
        <v>PR:Clothing SP:Barney2017107 $1419</v>
      </c>
      <c r="J91" s="21" t="n">
        <f aca="false">LEN(I91)</f>
        <v>34</v>
      </c>
      <c r="K91" s="21" t="n">
        <f aca="false">CODE(RIGHT(I91,1))</f>
        <v>57</v>
      </c>
      <c r="L91" s="14" t="str">
        <f aca="false">SUBSTITUTE(I91,"PR:","")</f>
        <v>Clothing SP:Barney2017107 $1419</v>
      </c>
      <c r="M91" s="14" t="str">
        <f aca="false">SUBSTITUTE(L91,"SP:","")</f>
        <v>Clothing Barney2017107 $1419</v>
      </c>
      <c r="N91" s="15" t="str">
        <f aca="false">SUBSTITUTE(M91,"201710"," 201710")</f>
        <v>Clothing Barney 2017107 $1419</v>
      </c>
      <c r="O91" s="21" t="n">
        <f aca="false">FIND(" ",N91)</f>
        <v>9</v>
      </c>
      <c r="P91" s="21" t="n">
        <f aca="false">FIND(" ",N91,O91+1)</f>
        <v>16</v>
      </c>
      <c r="Q91" s="21" t="n">
        <f aca="false">FIND(" ",N91,P91+1)</f>
        <v>24</v>
      </c>
      <c r="R91" s="26" t="str">
        <f aca="false">LEFT(N91,O91-1)</f>
        <v>Clothing</v>
      </c>
      <c r="S91" s="26" t="str">
        <f aca="false">MID(N91,O91+1,P91-O91-1)</f>
        <v>Barney</v>
      </c>
      <c r="T91" s="26" t="str">
        <f aca="false">MID(N91,P91+1,Q91-P91-1)</f>
        <v>2017107</v>
      </c>
      <c r="U91" s="26" t="n">
        <f aca="false">VALUE(MID(N91,Q91+2,90))</f>
        <v>1419</v>
      </c>
      <c r="V91" s="27" t="n">
        <f aca="false">DATE(2017,10,MID(T91,7,2))</f>
        <v>43015</v>
      </c>
    </row>
    <row r="92" customFormat="false" ht="14.25" hidden="false" customHeight="false" outlineLevel="0" collapsed="false">
      <c r="A92" s="23" t="n">
        <f aca="false">A91+1</f>
        <v>88</v>
      </c>
      <c r="B92" s="14" t="s">
        <v>106</v>
      </c>
      <c r="C92" s="21" t="n">
        <f aca="false">CODE(RIGHT(B92,1))</f>
        <v>29</v>
      </c>
      <c r="D92" s="14" t="str">
        <f aca="false">CLEAN(B92)</f>
        <v>////PR:Games___SP:Barney20171022     $2167  </v>
      </c>
      <c r="E92" s="21" t="n">
        <f aca="false">CODE(RIGHT(D92,1))</f>
        <v>32</v>
      </c>
      <c r="F92" s="14" t="str">
        <f aca="false">SUBSTITUTE(D92,_xlfn.UNICHAR(160)," ")</f>
        <v>////PR:Games___SP:Barney20171022     $2167  </v>
      </c>
      <c r="G92" s="14" t="str">
        <f aca="false">SUBSTITUTE(F92,"/","")</f>
        <v>PR:Games___SP:Barney20171022     $2167  </v>
      </c>
      <c r="H92" s="14" t="str">
        <f aca="false">SUBSTITUTE(G92,"_"," ")</f>
        <v>PR:Games   SP:Barney20171022     $2167  </v>
      </c>
      <c r="I92" s="14" t="str">
        <f aca="false">TRIM(H92)</f>
        <v>PR:Games SP:Barney20171022 $2167</v>
      </c>
      <c r="J92" s="21" t="n">
        <f aca="false">LEN(I92)</f>
        <v>32</v>
      </c>
      <c r="K92" s="21" t="n">
        <f aca="false">CODE(RIGHT(I92,1))</f>
        <v>55</v>
      </c>
      <c r="L92" s="14" t="str">
        <f aca="false">SUBSTITUTE(I92,"PR:","")</f>
        <v>Games SP:Barney20171022 $2167</v>
      </c>
      <c r="M92" s="14" t="str">
        <f aca="false">SUBSTITUTE(L92,"SP:","")</f>
        <v>Games Barney20171022 $2167</v>
      </c>
      <c r="N92" s="15" t="str">
        <f aca="false">SUBSTITUTE(M92,"201710"," 201710")</f>
        <v>Games Barney 20171022 $2167</v>
      </c>
      <c r="O92" s="21" t="n">
        <f aca="false">FIND(" ",N92)</f>
        <v>6</v>
      </c>
      <c r="P92" s="21" t="n">
        <f aca="false">FIND(" ",N92,O92+1)</f>
        <v>13</v>
      </c>
      <c r="Q92" s="21" t="n">
        <f aca="false">FIND(" ",N92,P92+1)</f>
        <v>22</v>
      </c>
      <c r="R92" s="26" t="str">
        <f aca="false">LEFT(N92,O92-1)</f>
        <v>Games</v>
      </c>
      <c r="S92" s="26" t="str">
        <f aca="false">MID(N92,O92+1,P92-O92-1)</f>
        <v>Barney</v>
      </c>
      <c r="T92" s="26" t="str">
        <f aca="false">MID(N92,P92+1,Q92-P92-1)</f>
        <v>20171022</v>
      </c>
      <c r="U92" s="26" t="n">
        <f aca="false">VALUE(MID(N92,Q92+2,90))</f>
        <v>2167</v>
      </c>
      <c r="V92" s="27" t="n">
        <f aca="false">DATE(2017,10,MID(T92,7,2))</f>
        <v>43030</v>
      </c>
    </row>
    <row r="93" customFormat="false" ht="14.25" hidden="false" customHeight="false" outlineLevel="0" collapsed="false">
      <c r="A93" s="23" t="n">
        <f aca="false">A92+1</f>
        <v>89</v>
      </c>
      <c r="B93" s="14" t="s">
        <v>107</v>
      </c>
      <c r="C93" s="21" t="n">
        <f aca="false">CODE(RIGHT(B93,1))</f>
        <v>29</v>
      </c>
      <c r="D93" s="14" t="str">
        <f aca="false">CLEAN(B93)</f>
        <v>/////PR:Games____SP:Barney20171014   $1771  </v>
      </c>
      <c r="E93" s="21" t="n">
        <f aca="false">CODE(RIGHT(D93,1))</f>
        <v>32</v>
      </c>
      <c r="F93" s="14" t="str">
        <f aca="false">SUBSTITUTE(D93,_xlfn.UNICHAR(160)," ")</f>
        <v>/////PR:Games____SP:Barney20171014   $1771  </v>
      </c>
      <c r="G93" s="14" t="str">
        <f aca="false">SUBSTITUTE(F93,"/","")</f>
        <v>PR:Games____SP:Barney20171014   $1771  </v>
      </c>
      <c r="H93" s="14" t="str">
        <f aca="false">SUBSTITUTE(G93,"_"," ")</f>
        <v>PR:Games    SP:Barney20171014   $1771  </v>
      </c>
      <c r="I93" s="14" t="str">
        <f aca="false">TRIM(H93)</f>
        <v>PR:Games SP:Barney20171014 $1771</v>
      </c>
      <c r="J93" s="21" t="n">
        <f aca="false">LEN(I93)</f>
        <v>32</v>
      </c>
      <c r="K93" s="21" t="n">
        <f aca="false">CODE(RIGHT(I93,1))</f>
        <v>49</v>
      </c>
      <c r="L93" s="14" t="str">
        <f aca="false">SUBSTITUTE(I93,"PR:","")</f>
        <v>Games SP:Barney20171014 $1771</v>
      </c>
      <c r="M93" s="14" t="str">
        <f aca="false">SUBSTITUTE(L93,"SP:","")</f>
        <v>Games Barney20171014 $1771</v>
      </c>
      <c r="N93" s="15" t="str">
        <f aca="false">SUBSTITUTE(M93,"201710"," 201710")</f>
        <v>Games Barney 20171014 $1771</v>
      </c>
      <c r="O93" s="21" t="n">
        <f aca="false">FIND(" ",N93)</f>
        <v>6</v>
      </c>
      <c r="P93" s="21" t="n">
        <f aca="false">FIND(" ",N93,O93+1)</f>
        <v>13</v>
      </c>
      <c r="Q93" s="21" t="n">
        <f aca="false">FIND(" ",N93,P93+1)</f>
        <v>22</v>
      </c>
      <c r="R93" s="26" t="str">
        <f aca="false">LEFT(N93,O93-1)</f>
        <v>Games</v>
      </c>
      <c r="S93" s="26" t="str">
        <f aca="false">MID(N93,O93+1,P93-O93-1)</f>
        <v>Barney</v>
      </c>
      <c r="T93" s="26" t="str">
        <f aca="false">MID(N93,P93+1,Q93-P93-1)</f>
        <v>20171014</v>
      </c>
      <c r="U93" s="26" t="n">
        <f aca="false">VALUE(MID(N93,Q93+2,90))</f>
        <v>1771</v>
      </c>
      <c r="V93" s="27" t="n">
        <f aca="false">DATE(2017,10,MID(T93,7,2))</f>
        <v>43022</v>
      </c>
    </row>
    <row r="94" customFormat="false" ht="14.25" hidden="false" customHeight="false" outlineLevel="0" collapsed="false">
      <c r="A94" s="23" t="n">
        <f aca="false">A93+1</f>
        <v>90</v>
      </c>
      <c r="B94" s="14" t="s">
        <v>108</v>
      </c>
      <c r="C94" s="21" t="n">
        <f aca="false">CODE(RIGHT(B94,1))</f>
        <v>31</v>
      </c>
      <c r="D94" s="14" t="str">
        <f aca="false">CLEAN(B94)</f>
        <v>/////PR:Games__SP:Barney2017109     $0 </v>
      </c>
      <c r="E94" s="21" t="n">
        <f aca="false">CODE(RIGHT(D94,1))</f>
        <v>32</v>
      </c>
      <c r="F94" s="14" t="str">
        <f aca="false">SUBSTITUTE(D94,_xlfn.UNICHAR(160)," ")</f>
        <v>/////PR:Games__SP:Barney2017109     $0 </v>
      </c>
      <c r="G94" s="14" t="str">
        <f aca="false">SUBSTITUTE(F94,"/","")</f>
        <v>PR:Games__SP:Barney2017109     $0 </v>
      </c>
      <c r="H94" s="14" t="str">
        <f aca="false">SUBSTITUTE(G94,"_"," ")</f>
        <v>PR:Games  SP:Barney2017109     $0 </v>
      </c>
      <c r="I94" s="14" t="str">
        <f aca="false">TRIM(H94)</f>
        <v>PR:Games SP:Barney2017109 $0</v>
      </c>
      <c r="J94" s="21" t="n">
        <f aca="false">LEN(I94)</f>
        <v>28</v>
      </c>
      <c r="K94" s="21" t="n">
        <f aca="false">CODE(RIGHT(I94,1))</f>
        <v>48</v>
      </c>
      <c r="L94" s="14" t="str">
        <f aca="false">SUBSTITUTE(I94,"PR:","")</f>
        <v>Games SP:Barney2017109 $0</v>
      </c>
      <c r="M94" s="14" t="str">
        <f aca="false">SUBSTITUTE(L94,"SP:","")</f>
        <v>Games Barney2017109 $0</v>
      </c>
      <c r="N94" s="15" t="str">
        <f aca="false">SUBSTITUTE(M94,"201710"," 201710")</f>
        <v>Games Barney 2017109 $0</v>
      </c>
      <c r="O94" s="21" t="n">
        <f aca="false">FIND(" ",N94)</f>
        <v>6</v>
      </c>
      <c r="P94" s="21" t="n">
        <f aca="false">FIND(" ",N94,O94+1)</f>
        <v>13</v>
      </c>
      <c r="Q94" s="21" t="n">
        <f aca="false">FIND(" ",N94,P94+1)</f>
        <v>21</v>
      </c>
      <c r="R94" s="26" t="str">
        <f aca="false">LEFT(N94,O94-1)</f>
        <v>Games</v>
      </c>
      <c r="S94" s="26" t="str">
        <f aca="false">MID(N94,O94+1,P94-O94-1)</f>
        <v>Barney</v>
      </c>
      <c r="T94" s="26" t="str">
        <f aca="false">MID(N94,P94+1,Q94-P94-1)</f>
        <v>2017109</v>
      </c>
      <c r="U94" s="26" t="n">
        <f aca="false">VALUE(MID(N94,Q94+2,90))</f>
        <v>0</v>
      </c>
      <c r="V94" s="27" t="n">
        <f aca="false">DATE(2017,10,MID(T94,7,2))</f>
        <v>43017</v>
      </c>
    </row>
    <row r="95" customFormat="false" ht="14.25" hidden="false" customHeight="false" outlineLevel="0" collapsed="false">
      <c r="A95" s="23" t="n">
        <f aca="false">A94+1</f>
        <v>91</v>
      </c>
      <c r="B95" s="14" t="s">
        <v>109</v>
      </c>
      <c r="C95" s="21" t="n">
        <f aca="false">CODE(RIGHT(B95,1))</f>
        <v>29</v>
      </c>
      <c r="D95" s="14" t="str">
        <f aca="false">CLEAN(B95)</f>
        <v>/////PR:Clothing____SP:Alice2017101     $0    </v>
      </c>
      <c r="E95" s="21" t="n">
        <f aca="false">CODE(RIGHT(D95,1))</f>
        <v>32</v>
      </c>
      <c r="F95" s="14" t="str">
        <f aca="false">SUBSTITUTE(D95,_xlfn.UNICHAR(160)," ")</f>
        <v>/////PR:Clothing____SP:Alice2017101     $0    </v>
      </c>
      <c r="G95" s="14" t="str">
        <f aca="false">SUBSTITUTE(F95,"/","")</f>
        <v>PR:Clothing____SP:Alice2017101     $0    </v>
      </c>
      <c r="H95" s="14" t="str">
        <f aca="false">SUBSTITUTE(G95,"_"," ")</f>
        <v>PR:Clothing    SP:Alice2017101     $0    </v>
      </c>
      <c r="I95" s="14" t="str">
        <f aca="false">TRIM(H95)</f>
        <v>PR:Clothing SP:Alice2017101 $0</v>
      </c>
      <c r="J95" s="21" t="n">
        <f aca="false">LEN(I95)</f>
        <v>30</v>
      </c>
      <c r="K95" s="21" t="n">
        <f aca="false">CODE(RIGHT(I95,1))</f>
        <v>48</v>
      </c>
      <c r="L95" s="14" t="str">
        <f aca="false">SUBSTITUTE(I95,"PR:","")</f>
        <v>Clothing SP:Alice2017101 $0</v>
      </c>
      <c r="M95" s="14" t="str">
        <f aca="false">SUBSTITUTE(L95,"SP:","")</f>
        <v>Clothing Alice2017101 $0</v>
      </c>
      <c r="N95" s="15" t="str">
        <f aca="false">SUBSTITUTE(M95,"201710"," 201710")</f>
        <v>Clothing Alice 2017101 $0</v>
      </c>
      <c r="O95" s="21" t="n">
        <f aca="false">FIND(" ",N95)</f>
        <v>9</v>
      </c>
      <c r="P95" s="21" t="n">
        <f aca="false">FIND(" ",N95,O95+1)</f>
        <v>15</v>
      </c>
      <c r="Q95" s="21" t="n">
        <f aca="false">FIND(" ",N95,P95+1)</f>
        <v>23</v>
      </c>
      <c r="R95" s="26" t="str">
        <f aca="false">LEFT(N95,O95-1)</f>
        <v>Clothing</v>
      </c>
      <c r="S95" s="26" t="str">
        <f aca="false">MID(N95,O95+1,P95-O95-1)</f>
        <v>Alice</v>
      </c>
      <c r="T95" s="26" t="str">
        <f aca="false">MID(N95,P95+1,Q95-P95-1)</f>
        <v>2017101</v>
      </c>
      <c r="U95" s="26" t="n">
        <f aca="false">VALUE(MID(N95,Q95+2,90))</f>
        <v>0</v>
      </c>
      <c r="V95" s="27" t="n">
        <f aca="false">DATE(2017,10,MID(T95,7,2))</f>
        <v>43009</v>
      </c>
    </row>
    <row r="96" customFormat="false" ht="14.25" hidden="false" customHeight="false" outlineLevel="0" collapsed="false">
      <c r="A96" s="23" t="n">
        <f aca="false">A95+1</f>
        <v>92</v>
      </c>
      <c r="B96" s="14" t="s">
        <v>110</v>
      </c>
      <c r="C96" s="21" t="n">
        <f aca="false">CODE(RIGHT(B96,1))</f>
        <v>30</v>
      </c>
      <c r="D96" s="14" t="str">
        <f aca="false">CLEAN(B96)</f>
        <v>/PR:Books__SP:Barney20171015  $0  </v>
      </c>
      <c r="E96" s="21" t="n">
        <f aca="false">CODE(RIGHT(D96,1))</f>
        <v>32</v>
      </c>
      <c r="F96" s="14" t="str">
        <f aca="false">SUBSTITUTE(D96,_xlfn.UNICHAR(160)," ")</f>
        <v>/PR:Books__SP:Barney20171015  $0  </v>
      </c>
      <c r="G96" s="14" t="str">
        <f aca="false">SUBSTITUTE(F96,"/","")</f>
        <v>PR:Books__SP:Barney20171015  $0  </v>
      </c>
      <c r="H96" s="14" t="str">
        <f aca="false">SUBSTITUTE(G96,"_"," ")</f>
        <v>PR:Books  SP:Barney20171015  $0  </v>
      </c>
      <c r="I96" s="14" t="str">
        <f aca="false">TRIM(H96)</f>
        <v>PR:Books SP:Barney20171015 $0</v>
      </c>
      <c r="J96" s="21" t="n">
        <f aca="false">LEN(I96)</f>
        <v>29</v>
      </c>
      <c r="K96" s="21" t="n">
        <f aca="false">CODE(RIGHT(I96,1))</f>
        <v>48</v>
      </c>
      <c r="L96" s="14" t="str">
        <f aca="false">SUBSTITUTE(I96,"PR:","")</f>
        <v>Books SP:Barney20171015 $0</v>
      </c>
      <c r="M96" s="14" t="str">
        <f aca="false">SUBSTITUTE(L96,"SP:","")</f>
        <v>Books Barney20171015 $0</v>
      </c>
      <c r="N96" s="15" t="str">
        <f aca="false">SUBSTITUTE(M96,"201710"," 201710")</f>
        <v>Books Barney 20171015 $0</v>
      </c>
      <c r="O96" s="21" t="n">
        <f aca="false">FIND(" ",N96)</f>
        <v>6</v>
      </c>
      <c r="P96" s="21" t="n">
        <f aca="false">FIND(" ",N96,O96+1)</f>
        <v>13</v>
      </c>
      <c r="Q96" s="21" t="n">
        <f aca="false">FIND(" ",N96,P96+1)</f>
        <v>22</v>
      </c>
      <c r="R96" s="26" t="str">
        <f aca="false">LEFT(N96,O96-1)</f>
        <v>Books</v>
      </c>
      <c r="S96" s="26" t="str">
        <f aca="false">MID(N96,O96+1,P96-O96-1)</f>
        <v>Barney</v>
      </c>
      <c r="T96" s="26" t="str">
        <f aca="false">MID(N96,P96+1,Q96-P96-1)</f>
        <v>20171015</v>
      </c>
      <c r="U96" s="26" t="n">
        <f aca="false">VALUE(MID(N96,Q96+2,90))</f>
        <v>0</v>
      </c>
      <c r="V96" s="27" t="n">
        <f aca="false">DATE(2017,10,MID(T96,7,2))</f>
        <v>43023</v>
      </c>
    </row>
    <row r="97" customFormat="false" ht="14.25" hidden="false" customHeight="false" outlineLevel="0" collapsed="false">
      <c r="A97" s="23" t="n">
        <f aca="false">A96+1</f>
        <v>93</v>
      </c>
      <c r="B97" s="14" t="s">
        <v>111</v>
      </c>
      <c r="C97" s="21" t="n">
        <f aca="false">CODE(RIGHT(B97,1))</f>
        <v>31</v>
      </c>
      <c r="D97" s="14" t="str">
        <f aca="false">CLEAN(B97)</f>
        <v>/////PR:Clothing___SP:Carol20171012  $1973  </v>
      </c>
      <c r="E97" s="21" t="n">
        <f aca="false">CODE(RIGHT(D97,1))</f>
        <v>32</v>
      </c>
      <c r="F97" s="14" t="str">
        <f aca="false">SUBSTITUTE(D97,_xlfn.UNICHAR(160)," ")</f>
        <v>/////PR:Clothing___SP:Carol20171012  $1973  </v>
      </c>
      <c r="G97" s="14" t="str">
        <f aca="false">SUBSTITUTE(F97,"/","")</f>
        <v>PR:Clothing___SP:Carol20171012  $1973  </v>
      </c>
      <c r="H97" s="14" t="str">
        <f aca="false">SUBSTITUTE(G97,"_"," ")</f>
        <v>PR:Clothing   SP:Carol20171012  $1973  </v>
      </c>
      <c r="I97" s="14" t="str">
        <f aca="false">TRIM(H97)</f>
        <v>PR:Clothing SP:Carol20171012 $1973</v>
      </c>
      <c r="J97" s="21" t="n">
        <f aca="false">LEN(I97)</f>
        <v>34</v>
      </c>
      <c r="K97" s="21" t="n">
        <f aca="false">CODE(RIGHT(I97,1))</f>
        <v>51</v>
      </c>
      <c r="L97" s="14" t="str">
        <f aca="false">SUBSTITUTE(I97,"PR:","")</f>
        <v>Clothing SP:Carol20171012 $1973</v>
      </c>
      <c r="M97" s="14" t="str">
        <f aca="false">SUBSTITUTE(L97,"SP:","")</f>
        <v>Clothing Carol20171012 $1973</v>
      </c>
      <c r="N97" s="15" t="str">
        <f aca="false">SUBSTITUTE(M97,"201710"," 201710")</f>
        <v>Clothing Carol 20171012 $1973</v>
      </c>
      <c r="O97" s="21" t="n">
        <f aca="false">FIND(" ",N97)</f>
        <v>9</v>
      </c>
      <c r="P97" s="21" t="n">
        <f aca="false">FIND(" ",N97,O97+1)</f>
        <v>15</v>
      </c>
      <c r="Q97" s="21" t="n">
        <f aca="false">FIND(" ",N97,P97+1)</f>
        <v>24</v>
      </c>
      <c r="R97" s="26" t="str">
        <f aca="false">LEFT(N97,O97-1)</f>
        <v>Clothing</v>
      </c>
      <c r="S97" s="26" t="str">
        <f aca="false">MID(N97,O97+1,P97-O97-1)</f>
        <v>Carol</v>
      </c>
      <c r="T97" s="26" t="str">
        <f aca="false">MID(N97,P97+1,Q97-P97-1)</f>
        <v>20171012</v>
      </c>
      <c r="U97" s="26" t="n">
        <f aca="false">VALUE(MID(N97,Q97+2,90))</f>
        <v>1973</v>
      </c>
      <c r="V97" s="27" t="n">
        <f aca="false">DATE(2017,10,MID(T97,7,2))</f>
        <v>43020</v>
      </c>
    </row>
    <row r="98" customFormat="false" ht="14.25" hidden="false" customHeight="false" outlineLevel="0" collapsed="false">
      <c r="A98" s="23" t="n">
        <f aca="false">A97+1</f>
        <v>94</v>
      </c>
      <c r="B98" s="14" t="s">
        <v>112</v>
      </c>
      <c r="C98" s="21" t="n">
        <f aca="false">CODE(RIGHT(B98,1))</f>
        <v>30</v>
      </c>
      <c r="D98" s="14" t="str">
        <f aca="false">CLEAN(B98)</f>
        <v>///PR:Music__SP:David20171028     $941 </v>
      </c>
      <c r="E98" s="21" t="n">
        <f aca="false">CODE(RIGHT(D98,1))</f>
        <v>32</v>
      </c>
      <c r="F98" s="14" t="str">
        <f aca="false">SUBSTITUTE(D98,_xlfn.UNICHAR(160)," ")</f>
        <v>///PR:Music__SP:David20171028     $941 </v>
      </c>
      <c r="G98" s="14" t="str">
        <f aca="false">SUBSTITUTE(F98,"/","")</f>
        <v>PR:Music__SP:David20171028     $941 </v>
      </c>
      <c r="H98" s="14" t="str">
        <f aca="false">SUBSTITUTE(G98,"_"," ")</f>
        <v>PR:Music  SP:David20171028     $941 </v>
      </c>
      <c r="I98" s="14" t="str">
        <f aca="false">TRIM(H98)</f>
        <v>PR:Music SP:David20171028 $941</v>
      </c>
      <c r="J98" s="21" t="n">
        <f aca="false">LEN(I98)</f>
        <v>30</v>
      </c>
      <c r="K98" s="21" t="n">
        <f aca="false">CODE(RIGHT(I98,1))</f>
        <v>49</v>
      </c>
      <c r="L98" s="14" t="str">
        <f aca="false">SUBSTITUTE(I98,"PR:","")</f>
        <v>Music SP:David20171028 $941</v>
      </c>
      <c r="M98" s="14" t="str">
        <f aca="false">SUBSTITUTE(L98,"SP:","")</f>
        <v>Music David20171028 $941</v>
      </c>
      <c r="N98" s="15" t="str">
        <f aca="false">SUBSTITUTE(M98,"201710"," 201710")</f>
        <v>Music David 20171028 $941</v>
      </c>
      <c r="O98" s="21" t="n">
        <f aca="false">FIND(" ",N98)</f>
        <v>6</v>
      </c>
      <c r="P98" s="21" t="n">
        <f aca="false">FIND(" ",N98,O98+1)</f>
        <v>12</v>
      </c>
      <c r="Q98" s="21" t="n">
        <f aca="false">FIND(" ",N98,P98+1)</f>
        <v>21</v>
      </c>
      <c r="R98" s="26" t="str">
        <f aca="false">LEFT(N98,O98-1)</f>
        <v>Music</v>
      </c>
      <c r="S98" s="26" t="str">
        <f aca="false">MID(N98,O98+1,P98-O98-1)</f>
        <v>David</v>
      </c>
      <c r="T98" s="26" t="str">
        <f aca="false">MID(N98,P98+1,Q98-P98-1)</f>
        <v>20171028</v>
      </c>
      <c r="U98" s="26" t="n">
        <f aca="false">VALUE(MID(N98,Q98+2,90))</f>
        <v>941</v>
      </c>
      <c r="V98" s="27" t="n">
        <f aca="false">DATE(2017,10,MID(T98,7,2))</f>
        <v>43036</v>
      </c>
    </row>
    <row r="99" customFormat="false" ht="14.25" hidden="false" customHeight="false" outlineLevel="0" collapsed="false">
      <c r="A99" s="23" t="n">
        <f aca="false">A98+1</f>
        <v>95</v>
      </c>
      <c r="B99" s="14" t="s">
        <v>113</v>
      </c>
      <c r="C99" s="21" t="n">
        <f aca="false">CODE(RIGHT(B99,1))</f>
        <v>31</v>
      </c>
      <c r="D99" s="14" t="str">
        <f aca="false">CLEAN(B99)</f>
        <v>/////PR:Books_____SP:Carol20171028   $671   </v>
      </c>
      <c r="E99" s="21" t="n">
        <f aca="false">CODE(RIGHT(D99,1))</f>
        <v>32</v>
      </c>
      <c r="F99" s="14" t="str">
        <f aca="false">SUBSTITUTE(D99,_xlfn.UNICHAR(160)," ")</f>
        <v>/////PR:Books_____SP:Carol20171028   $671   </v>
      </c>
      <c r="G99" s="14" t="str">
        <f aca="false">SUBSTITUTE(F99,"/","")</f>
        <v>PR:Books_____SP:Carol20171028   $671   </v>
      </c>
      <c r="H99" s="14" t="str">
        <f aca="false">SUBSTITUTE(G99,"_"," ")</f>
        <v>PR:Books     SP:Carol20171028   $671   </v>
      </c>
      <c r="I99" s="14" t="str">
        <f aca="false">TRIM(H99)</f>
        <v>PR:Books SP:Carol20171028 $671</v>
      </c>
      <c r="J99" s="21" t="n">
        <f aca="false">LEN(I99)</f>
        <v>30</v>
      </c>
      <c r="K99" s="21" t="n">
        <f aca="false">CODE(RIGHT(I99,1))</f>
        <v>49</v>
      </c>
      <c r="L99" s="14" t="str">
        <f aca="false">SUBSTITUTE(I99,"PR:","")</f>
        <v>Books SP:Carol20171028 $671</v>
      </c>
      <c r="M99" s="14" t="str">
        <f aca="false">SUBSTITUTE(L99,"SP:","")</f>
        <v>Books Carol20171028 $671</v>
      </c>
      <c r="N99" s="15" t="str">
        <f aca="false">SUBSTITUTE(M99,"201710"," 201710")</f>
        <v>Books Carol 20171028 $671</v>
      </c>
      <c r="O99" s="21" t="n">
        <f aca="false">FIND(" ",N99)</f>
        <v>6</v>
      </c>
      <c r="P99" s="21" t="n">
        <f aca="false">FIND(" ",N99,O99+1)</f>
        <v>12</v>
      </c>
      <c r="Q99" s="21" t="n">
        <f aca="false">FIND(" ",N99,P99+1)</f>
        <v>21</v>
      </c>
      <c r="R99" s="26" t="str">
        <f aca="false">LEFT(N99,O99-1)</f>
        <v>Books</v>
      </c>
      <c r="S99" s="26" t="str">
        <f aca="false">MID(N99,O99+1,P99-O99-1)</f>
        <v>Carol</v>
      </c>
      <c r="T99" s="26" t="str">
        <f aca="false">MID(N99,P99+1,Q99-P99-1)</f>
        <v>20171028</v>
      </c>
      <c r="U99" s="26" t="n">
        <f aca="false">VALUE(MID(N99,Q99+2,90))</f>
        <v>671</v>
      </c>
      <c r="V99" s="27" t="n">
        <f aca="false">DATE(2017,10,MID(T99,7,2))</f>
        <v>43036</v>
      </c>
    </row>
    <row r="100" customFormat="false" ht="14.25" hidden="false" customHeight="false" outlineLevel="0" collapsed="false">
      <c r="A100" s="23" t="n">
        <f aca="false">A99+1</f>
        <v>96</v>
      </c>
      <c r="B100" s="14" t="s">
        <v>114</v>
      </c>
      <c r="C100" s="21" t="n">
        <f aca="false">CODE(RIGHT(B100,1))</f>
        <v>29</v>
      </c>
      <c r="D100" s="14" t="str">
        <f aca="false">CLEAN(B100)</f>
        <v>///PR:Clothing____SP:Barney20171015    $1743 </v>
      </c>
      <c r="E100" s="21" t="n">
        <f aca="false">CODE(RIGHT(D100,1))</f>
        <v>32</v>
      </c>
      <c r="F100" s="14" t="str">
        <f aca="false">SUBSTITUTE(D100,_xlfn.UNICHAR(160)," ")</f>
        <v>///PR:Clothing____SP:Barney20171015    $1743 </v>
      </c>
      <c r="G100" s="14" t="str">
        <f aca="false">SUBSTITUTE(F100,"/","")</f>
        <v>PR:Clothing____SP:Barney20171015    $1743 </v>
      </c>
      <c r="H100" s="14" t="str">
        <f aca="false">SUBSTITUTE(G100,"_"," ")</f>
        <v>PR:Clothing    SP:Barney20171015    $1743 </v>
      </c>
      <c r="I100" s="14" t="str">
        <f aca="false">TRIM(H100)</f>
        <v>PR:Clothing SP:Barney20171015 $1743</v>
      </c>
      <c r="J100" s="21" t="n">
        <f aca="false">LEN(I100)</f>
        <v>35</v>
      </c>
      <c r="K100" s="21" t="n">
        <f aca="false">CODE(RIGHT(I100,1))</f>
        <v>51</v>
      </c>
      <c r="L100" s="14" t="str">
        <f aca="false">SUBSTITUTE(I100,"PR:","")</f>
        <v>Clothing SP:Barney20171015 $1743</v>
      </c>
      <c r="M100" s="14" t="str">
        <f aca="false">SUBSTITUTE(L100,"SP:","")</f>
        <v>Clothing Barney20171015 $1743</v>
      </c>
      <c r="N100" s="15" t="str">
        <f aca="false">SUBSTITUTE(M100,"201710"," 201710")</f>
        <v>Clothing Barney 20171015 $1743</v>
      </c>
      <c r="O100" s="21" t="n">
        <f aca="false">FIND(" ",N100)</f>
        <v>9</v>
      </c>
      <c r="P100" s="21" t="n">
        <f aca="false">FIND(" ",N100,O100+1)</f>
        <v>16</v>
      </c>
      <c r="Q100" s="21" t="n">
        <f aca="false">FIND(" ",N100,P100+1)</f>
        <v>25</v>
      </c>
      <c r="R100" s="26" t="str">
        <f aca="false">LEFT(N100,O100-1)</f>
        <v>Clothing</v>
      </c>
      <c r="S100" s="26" t="str">
        <f aca="false">MID(N100,O100+1,P100-O100-1)</f>
        <v>Barney</v>
      </c>
      <c r="T100" s="26" t="str">
        <f aca="false">MID(N100,P100+1,Q100-P100-1)</f>
        <v>20171015</v>
      </c>
      <c r="U100" s="26" t="n">
        <f aca="false">VALUE(MID(N100,Q100+2,90))</f>
        <v>1743</v>
      </c>
      <c r="V100" s="27" t="n">
        <f aca="false">DATE(2017,10,MID(T100,7,2))</f>
        <v>43023</v>
      </c>
    </row>
    <row r="101" customFormat="false" ht="14.25" hidden="false" customHeight="false" outlineLevel="0" collapsed="false">
      <c r="A101" s="23" t="n">
        <f aca="false">A100+1</f>
        <v>97</v>
      </c>
      <c r="B101" s="14" t="s">
        <v>115</v>
      </c>
      <c r="C101" s="21" t="n">
        <f aca="false">CODE(RIGHT(B101,1))</f>
        <v>30</v>
      </c>
      <c r="D101" s="14" t="str">
        <f aca="false">CLEAN(B101)</f>
        <v>/////PR:Games_SP:David20171017 $963    </v>
      </c>
      <c r="E101" s="21" t="n">
        <f aca="false">CODE(RIGHT(D101,1))</f>
        <v>32</v>
      </c>
      <c r="F101" s="14" t="str">
        <f aca="false">SUBSTITUTE(D101,_xlfn.UNICHAR(160)," ")</f>
        <v>/////PR:Games_SP:David20171017 $963    </v>
      </c>
      <c r="G101" s="14" t="str">
        <f aca="false">SUBSTITUTE(F101,"/","")</f>
        <v>PR:Games_SP:David20171017 $963    </v>
      </c>
      <c r="H101" s="14" t="str">
        <f aca="false">SUBSTITUTE(G101,"_"," ")</f>
        <v>PR:Games SP:David20171017 $963    </v>
      </c>
      <c r="I101" s="14" t="str">
        <f aca="false">TRIM(H101)</f>
        <v>PR:Games SP:David20171017 $963</v>
      </c>
      <c r="J101" s="21" t="n">
        <f aca="false">LEN(I101)</f>
        <v>30</v>
      </c>
      <c r="K101" s="21" t="n">
        <f aca="false">CODE(RIGHT(I101,1))</f>
        <v>51</v>
      </c>
      <c r="L101" s="14" t="str">
        <f aca="false">SUBSTITUTE(I101,"PR:","")</f>
        <v>Games SP:David20171017 $963</v>
      </c>
      <c r="M101" s="14" t="str">
        <f aca="false">SUBSTITUTE(L101,"SP:","")</f>
        <v>Games David20171017 $963</v>
      </c>
      <c r="N101" s="15" t="str">
        <f aca="false">SUBSTITUTE(M101,"201710"," 201710")</f>
        <v>Games David 20171017 $963</v>
      </c>
      <c r="O101" s="21" t="n">
        <f aca="false">FIND(" ",N101)</f>
        <v>6</v>
      </c>
      <c r="P101" s="21" t="n">
        <f aca="false">FIND(" ",N101,O101+1)</f>
        <v>12</v>
      </c>
      <c r="Q101" s="21" t="n">
        <f aca="false">FIND(" ",N101,P101+1)</f>
        <v>21</v>
      </c>
      <c r="R101" s="26" t="str">
        <f aca="false">LEFT(N101,O101-1)</f>
        <v>Games</v>
      </c>
      <c r="S101" s="26" t="str">
        <f aca="false">MID(N101,O101+1,P101-O101-1)</f>
        <v>David</v>
      </c>
      <c r="T101" s="26" t="str">
        <f aca="false">MID(N101,P101+1,Q101-P101-1)</f>
        <v>20171017</v>
      </c>
      <c r="U101" s="26" t="n">
        <f aca="false">VALUE(MID(N101,Q101+2,90))</f>
        <v>963</v>
      </c>
      <c r="V101" s="27" t="n">
        <f aca="false">DATE(2017,10,MID(T101,7,2))</f>
        <v>43025</v>
      </c>
    </row>
    <row r="102" customFormat="false" ht="14.25" hidden="false" customHeight="false" outlineLevel="0" collapsed="false">
      <c r="A102" s="23" t="n">
        <f aca="false">A101+1</f>
        <v>98</v>
      </c>
      <c r="B102" s="14" t="s">
        <v>116</v>
      </c>
      <c r="C102" s="21" t="n">
        <f aca="false">CODE(RIGHT(B102,1))</f>
        <v>31</v>
      </c>
      <c r="D102" s="14" t="str">
        <f aca="false">CLEAN(B102)</f>
        <v>//PR:Games__SP:Alice20171022     $0     </v>
      </c>
      <c r="E102" s="21" t="n">
        <f aca="false">CODE(RIGHT(D102,1))</f>
        <v>32</v>
      </c>
      <c r="F102" s="14" t="str">
        <f aca="false">SUBSTITUTE(D102,_xlfn.UNICHAR(160)," ")</f>
        <v>//PR:Games__SP:Alice20171022     $0     </v>
      </c>
      <c r="G102" s="14" t="str">
        <f aca="false">SUBSTITUTE(F102,"/","")</f>
        <v>PR:Games__SP:Alice20171022     $0     </v>
      </c>
      <c r="H102" s="14" t="str">
        <f aca="false">SUBSTITUTE(G102,"_"," ")</f>
        <v>PR:Games  SP:Alice20171022     $0     </v>
      </c>
      <c r="I102" s="14" t="str">
        <f aca="false">TRIM(H102)</f>
        <v>PR:Games SP:Alice20171022 $0</v>
      </c>
      <c r="J102" s="21" t="n">
        <f aca="false">LEN(I102)</f>
        <v>28</v>
      </c>
      <c r="K102" s="21" t="n">
        <f aca="false">CODE(RIGHT(I102,1))</f>
        <v>48</v>
      </c>
      <c r="L102" s="14" t="str">
        <f aca="false">SUBSTITUTE(I102,"PR:","")</f>
        <v>Games SP:Alice20171022 $0</v>
      </c>
      <c r="M102" s="14" t="str">
        <f aca="false">SUBSTITUTE(L102,"SP:","")</f>
        <v>Games Alice20171022 $0</v>
      </c>
      <c r="N102" s="15" t="str">
        <f aca="false">SUBSTITUTE(M102,"201710"," 201710")</f>
        <v>Games Alice 20171022 $0</v>
      </c>
      <c r="O102" s="21" t="n">
        <f aca="false">FIND(" ",N102)</f>
        <v>6</v>
      </c>
      <c r="P102" s="21" t="n">
        <f aca="false">FIND(" ",N102,O102+1)</f>
        <v>12</v>
      </c>
      <c r="Q102" s="21" t="n">
        <f aca="false">FIND(" ",N102,P102+1)</f>
        <v>21</v>
      </c>
      <c r="R102" s="26" t="str">
        <f aca="false">LEFT(N102,O102-1)</f>
        <v>Games</v>
      </c>
      <c r="S102" s="26" t="str">
        <f aca="false">MID(N102,O102+1,P102-O102-1)</f>
        <v>Alice</v>
      </c>
      <c r="T102" s="26" t="str">
        <f aca="false">MID(N102,P102+1,Q102-P102-1)</f>
        <v>20171022</v>
      </c>
      <c r="U102" s="26" t="n">
        <f aca="false">VALUE(MID(N102,Q102+2,90))</f>
        <v>0</v>
      </c>
      <c r="V102" s="27" t="n">
        <f aca="false">DATE(2017,10,MID(T102,7,2))</f>
        <v>43030</v>
      </c>
    </row>
    <row r="103" customFormat="false" ht="14.25" hidden="false" customHeight="false" outlineLevel="0" collapsed="false">
      <c r="A103" s="23" t="n">
        <f aca="false">A102+1</f>
        <v>99</v>
      </c>
      <c r="B103" s="14" t="s">
        <v>117</v>
      </c>
      <c r="C103" s="21" t="n">
        <f aca="false">CODE(RIGHT(B103,1))</f>
        <v>28</v>
      </c>
      <c r="D103" s="14" t="str">
        <f aca="false">CLEAN(B103)</f>
        <v>/PR:Books___SP:Barney20171023 $881    </v>
      </c>
      <c r="E103" s="21" t="n">
        <f aca="false">CODE(RIGHT(D103,1))</f>
        <v>32</v>
      </c>
      <c r="F103" s="14" t="str">
        <f aca="false">SUBSTITUTE(D103,_xlfn.UNICHAR(160)," ")</f>
        <v>/PR:Books___SP:Barney20171023 $881    </v>
      </c>
      <c r="G103" s="14" t="str">
        <f aca="false">SUBSTITUTE(F103,"/","")</f>
        <v>PR:Books___SP:Barney20171023 $881    </v>
      </c>
      <c r="H103" s="14" t="str">
        <f aca="false">SUBSTITUTE(G103,"_"," ")</f>
        <v>PR:Books   SP:Barney20171023 $881    </v>
      </c>
      <c r="I103" s="14" t="str">
        <f aca="false">TRIM(H103)</f>
        <v>PR:Books SP:Barney20171023 $881</v>
      </c>
      <c r="J103" s="21" t="n">
        <f aca="false">LEN(I103)</f>
        <v>31</v>
      </c>
      <c r="K103" s="21" t="n">
        <f aca="false">CODE(RIGHT(I103,1))</f>
        <v>49</v>
      </c>
      <c r="L103" s="14" t="str">
        <f aca="false">SUBSTITUTE(I103,"PR:","")</f>
        <v>Books SP:Barney20171023 $881</v>
      </c>
      <c r="M103" s="14" t="str">
        <f aca="false">SUBSTITUTE(L103,"SP:","")</f>
        <v>Books Barney20171023 $881</v>
      </c>
      <c r="N103" s="15" t="str">
        <f aca="false">SUBSTITUTE(M103,"201710"," 201710")</f>
        <v>Books Barney 20171023 $881</v>
      </c>
      <c r="O103" s="21" t="n">
        <f aca="false">FIND(" ",N103)</f>
        <v>6</v>
      </c>
      <c r="P103" s="21" t="n">
        <f aca="false">FIND(" ",N103,O103+1)</f>
        <v>13</v>
      </c>
      <c r="Q103" s="21" t="n">
        <f aca="false">FIND(" ",N103,P103+1)</f>
        <v>22</v>
      </c>
      <c r="R103" s="26" t="str">
        <f aca="false">LEFT(N103,O103-1)</f>
        <v>Books</v>
      </c>
      <c r="S103" s="26" t="str">
        <f aca="false">MID(N103,O103+1,P103-O103-1)</f>
        <v>Barney</v>
      </c>
      <c r="T103" s="26" t="str">
        <f aca="false">MID(N103,P103+1,Q103-P103-1)</f>
        <v>20171023</v>
      </c>
      <c r="U103" s="26" t="n">
        <f aca="false">VALUE(MID(N103,Q103+2,90))</f>
        <v>881</v>
      </c>
      <c r="V103" s="27" t="n">
        <f aca="false">DATE(2017,10,MID(T103,7,2))</f>
        <v>43031</v>
      </c>
    </row>
    <row r="104" customFormat="false" ht="14.25" hidden="false" customHeight="false" outlineLevel="0" collapsed="false">
      <c r="A104" s="23" t="n">
        <f aca="false">A103+1</f>
        <v>100</v>
      </c>
      <c r="B104" s="14" t="s">
        <v>118</v>
      </c>
      <c r="C104" s="21" t="n">
        <f aca="false">CODE(RIGHT(B104,1))</f>
        <v>30</v>
      </c>
      <c r="D104" s="14" t="str">
        <f aca="false">CLEAN(B104)</f>
        <v>/////PR:Games__SP:Carol20171025 $2083     </v>
      </c>
      <c r="E104" s="21" t="n">
        <f aca="false">CODE(RIGHT(D104,1))</f>
        <v>32</v>
      </c>
      <c r="F104" s="14" t="str">
        <f aca="false">SUBSTITUTE(D104,_xlfn.UNICHAR(160)," ")</f>
        <v>/////PR:Games__SP:Carol20171025 $2083     </v>
      </c>
      <c r="G104" s="14" t="str">
        <f aca="false">SUBSTITUTE(F104,"/","")</f>
        <v>PR:Games__SP:Carol20171025 $2083     </v>
      </c>
      <c r="H104" s="14" t="str">
        <f aca="false">SUBSTITUTE(G104,"_"," ")</f>
        <v>PR:Games  SP:Carol20171025 $2083     </v>
      </c>
      <c r="I104" s="14" t="str">
        <f aca="false">TRIM(H104)</f>
        <v>PR:Games SP:Carol20171025 $2083</v>
      </c>
      <c r="J104" s="21" t="n">
        <f aca="false">LEN(I104)</f>
        <v>31</v>
      </c>
      <c r="K104" s="21" t="n">
        <f aca="false">CODE(RIGHT(I104,1))</f>
        <v>51</v>
      </c>
      <c r="L104" s="14" t="str">
        <f aca="false">SUBSTITUTE(I104,"PR:","")</f>
        <v>Games SP:Carol20171025 $2083</v>
      </c>
      <c r="M104" s="14" t="str">
        <f aca="false">SUBSTITUTE(L104,"SP:","")</f>
        <v>Games Carol20171025 $2083</v>
      </c>
      <c r="N104" s="15" t="str">
        <f aca="false">SUBSTITUTE(M104,"201710"," 201710")</f>
        <v>Games Carol 20171025 $2083</v>
      </c>
      <c r="O104" s="21" t="n">
        <f aca="false">FIND(" ",N104)</f>
        <v>6</v>
      </c>
      <c r="P104" s="21" t="n">
        <f aca="false">FIND(" ",N104,O104+1)</f>
        <v>12</v>
      </c>
      <c r="Q104" s="21" t="n">
        <f aca="false">FIND(" ",N104,P104+1)</f>
        <v>21</v>
      </c>
      <c r="R104" s="26" t="str">
        <f aca="false">LEFT(N104,O104-1)</f>
        <v>Games</v>
      </c>
      <c r="S104" s="26" t="str">
        <f aca="false">MID(N104,O104+1,P104-O104-1)</f>
        <v>Carol</v>
      </c>
      <c r="T104" s="26" t="str">
        <f aca="false">MID(N104,P104+1,Q104-P104-1)</f>
        <v>20171025</v>
      </c>
      <c r="U104" s="26" t="n">
        <f aca="false">VALUE(MID(N104,Q104+2,90))</f>
        <v>2083</v>
      </c>
      <c r="V104" s="27" t="n">
        <f aca="false">DATE(2017,10,MID(T104,7,2))</f>
        <v>43033</v>
      </c>
    </row>
    <row r="105" customFormat="false" ht="14.25" hidden="false" customHeight="false" outlineLevel="0" collapsed="false">
      <c r="A105" s="23" t="n">
        <f aca="false">A104+1</f>
        <v>101</v>
      </c>
      <c r="B105" s="14" t="s">
        <v>119</v>
      </c>
      <c r="C105" s="21" t="n">
        <f aca="false">CODE(RIGHT(B105,1))</f>
        <v>30</v>
      </c>
      <c r="D105" s="14" t="str">
        <f aca="false">CLEAN(B105)</f>
        <v>///PR:Clothing___SP:Carol2017108     $772   </v>
      </c>
      <c r="E105" s="21" t="n">
        <f aca="false">CODE(RIGHT(D105,1))</f>
        <v>32</v>
      </c>
      <c r="F105" s="14" t="str">
        <f aca="false">SUBSTITUTE(D105,_xlfn.UNICHAR(160)," ")</f>
        <v>///PR:Clothing___SP:Carol2017108     $772   </v>
      </c>
      <c r="G105" s="14" t="str">
        <f aca="false">SUBSTITUTE(F105,"/","")</f>
        <v>PR:Clothing___SP:Carol2017108     $772   </v>
      </c>
      <c r="H105" s="14" t="str">
        <f aca="false">SUBSTITUTE(G105,"_"," ")</f>
        <v>PR:Clothing   SP:Carol2017108     $772   </v>
      </c>
      <c r="I105" s="14" t="str">
        <f aca="false">TRIM(H105)</f>
        <v>PR:Clothing SP:Carol2017108 $772</v>
      </c>
      <c r="J105" s="21" t="n">
        <f aca="false">LEN(I105)</f>
        <v>32</v>
      </c>
      <c r="K105" s="21" t="n">
        <f aca="false">CODE(RIGHT(I105,1))</f>
        <v>50</v>
      </c>
      <c r="L105" s="14" t="str">
        <f aca="false">SUBSTITUTE(I105,"PR:","")</f>
        <v>Clothing SP:Carol2017108 $772</v>
      </c>
      <c r="M105" s="14" t="str">
        <f aca="false">SUBSTITUTE(L105,"SP:","")</f>
        <v>Clothing Carol2017108 $772</v>
      </c>
      <c r="N105" s="15" t="str">
        <f aca="false">SUBSTITUTE(M105,"201710"," 201710")</f>
        <v>Clothing Carol 2017108 $772</v>
      </c>
      <c r="O105" s="21" t="n">
        <f aca="false">FIND(" ",N105)</f>
        <v>9</v>
      </c>
      <c r="P105" s="21" t="n">
        <f aca="false">FIND(" ",N105,O105+1)</f>
        <v>15</v>
      </c>
      <c r="Q105" s="21" t="n">
        <f aca="false">FIND(" ",N105,P105+1)</f>
        <v>23</v>
      </c>
      <c r="R105" s="26" t="str">
        <f aca="false">LEFT(N105,O105-1)</f>
        <v>Clothing</v>
      </c>
      <c r="S105" s="26" t="str">
        <f aca="false">MID(N105,O105+1,P105-O105-1)</f>
        <v>Carol</v>
      </c>
      <c r="T105" s="26" t="str">
        <f aca="false">MID(N105,P105+1,Q105-P105-1)</f>
        <v>2017108</v>
      </c>
      <c r="U105" s="26" t="n">
        <f aca="false">VALUE(MID(N105,Q105+2,90))</f>
        <v>772</v>
      </c>
      <c r="V105" s="27" t="n">
        <f aca="false">DATE(2017,10,MID(T105,7,2))</f>
        <v>43016</v>
      </c>
    </row>
    <row r="106" customFormat="false" ht="14.25" hidden="false" customHeight="false" outlineLevel="0" collapsed="false">
      <c r="A106" s="23" t="n">
        <f aca="false">A105+1</f>
        <v>102</v>
      </c>
      <c r="B106" s="14" t="s">
        <v>120</v>
      </c>
      <c r="C106" s="21" t="n">
        <f aca="false">CODE(RIGHT(B106,1))</f>
        <v>31</v>
      </c>
      <c r="D106" s="14" t="str">
        <f aca="false">CLEAN(B106)</f>
        <v>/PR:Books___SP:Barney20171010   $725 </v>
      </c>
      <c r="E106" s="21" t="n">
        <f aca="false">CODE(RIGHT(D106,1))</f>
        <v>32</v>
      </c>
      <c r="F106" s="14" t="str">
        <f aca="false">SUBSTITUTE(D106,_xlfn.UNICHAR(160)," ")</f>
        <v>/PR:Books___SP:Barney20171010   $725 </v>
      </c>
      <c r="G106" s="14" t="str">
        <f aca="false">SUBSTITUTE(F106,"/","")</f>
        <v>PR:Books___SP:Barney20171010   $725 </v>
      </c>
      <c r="H106" s="14" t="str">
        <f aca="false">SUBSTITUTE(G106,"_"," ")</f>
        <v>PR:Books   SP:Barney20171010   $725 </v>
      </c>
      <c r="I106" s="14" t="str">
        <f aca="false">TRIM(H106)</f>
        <v>PR:Books SP:Barney20171010 $725</v>
      </c>
      <c r="J106" s="21" t="n">
        <f aca="false">LEN(I106)</f>
        <v>31</v>
      </c>
      <c r="K106" s="21" t="n">
        <f aca="false">CODE(RIGHT(I106,1))</f>
        <v>53</v>
      </c>
      <c r="L106" s="14" t="str">
        <f aca="false">SUBSTITUTE(I106,"PR:","")</f>
        <v>Books SP:Barney20171010 $725</v>
      </c>
      <c r="M106" s="14" t="str">
        <f aca="false">SUBSTITUTE(L106,"SP:","")</f>
        <v>Books Barney20171010 $725</v>
      </c>
      <c r="N106" s="15" t="str">
        <f aca="false">SUBSTITUTE(M106,"201710"," 201710")</f>
        <v>Books Barney 20171010 $725</v>
      </c>
      <c r="O106" s="21" t="n">
        <f aca="false">FIND(" ",N106)</f>
        <v>6</v>
      </c>
      <c r="P106" s="21" t="n">
        <f aca="false">FIND(" ",N106,O106+1)</f>
        <v>13</v>
      </c>
      <c r="Q106" s="21" t="n">
        <f aca="false">FIND(" ",N106,P106+1)</f>
        <v>22</v>
      </c>
      <c r="R106" s="26" t="str">
        <f aca="false">LEFT(N106,O106-1)</f>
        <v>Books</v>
      </c>
      <c r="S106" s="26" t="str">
        <f aca="false">MID(N106,O106+1,P106-O106-1)</f>
        <v>Barney</v>
      </c>
      <c r="T106" s="26" t="str">
        <f aca="false">MID(N106,P106+1,Q106-P106-1)</f>
        <v>20171010</v>
      </c>
      <c r="U106" s="26" t="n">
        <f aca="false">VALUE(MID(N106,Q106+2,90))</f>
        <v>725</v>
      </c>
      <c r="V106" s="27" t="n">
        <f aca="false">DATE(2017,10,MID(T106,7,2))</f>
        <v>43018</v>
      </c>
    </row>
    <row r="107" customFormat="false" ht="14.25" hidden="false" customHeight="false" outlineLevel="0" collapsed="false">
      <c r="A107" s="23" t="n">
        <f aca="false">A106+1</f>
        <v>103</v>
      </c>
      <c r="B107" s="14" t="s">
        <v>121</v>
      </c>
      <c r="C107" s="21" t="n">
        <f aca="false">CODE(RIGHT(B107,1))</f>
        <v>30</v>
      </c>
      <c r="D107" s="14" t="str">
        <f aca="false">CLEAN(B107)</f>
        <v>/PR:Music_SP:Barney20171029   $0 </v>
      </c>
      <c r="E107" s="21" t="n">
        <f aca="false">CODE(RIGHT(D107,1))</f>
        <v>32</v>
      </c>
      <c r="F107" s="14" t="str">
        <f aca="false">SUBSTITUTE(D107,_xlfn.UNICHAR(160)," ")</f>
        <v>/PR:Music_SP:Barney20171029   $0 </v>
      </c>
      <c r="G107" s="14" t="str">
        <f aca="false">SUBSTITUTE(F107,"/","")</f>
        <v>PR:Music_SP:Barney20171029   $0 </v>
      </c>
      <c r="H107" s="14" t="str">
        <f aca="false">SUBSTITUTE(G107,"_"," ")</f>
        <v>PR:Music SP:Barney20171029   $0 </v>
      </c>
      <c r="I107" s="14" t="str">
        <f aca="false">TRIM(H107)</f>
        <v>PR:Music SP:Barney20171029 $0</v>
      </c>
      <c r="J107" s="21" t="n">
        <f aca="false">LEN(I107)</f>
        <v>29</v>
      </c>
      <c r="K107" s="21" t="n">
        <f aca="false">CODE(RIGHT(I107,1))</f>
        <v>48</v>
      </c>
      <c r="L107" s="14" t="str">
        <f aca="false">SUBSTITUTE(I107,"PR:","")</f>
        <v>Music SP:Barney20171029 $0</v>
      </c>
      <c r="M107" s="14" t="str">
        <f aca="false">SUBSTITUTE(L107,"SP:","")</f>
        <v>Music Barney20171029 $0</v>
      </c>
      <c r="N107" s="15" t="str">
        <f aca="false">SUBSTITUTE(M107,"201710"," 201710")</f>
        <v>Music Barney 20171029 $0</v>
      </c>
      <c r="O107" s="21" t="n">
        <f aca="false">FIND(" ",N107)</f>
        <v>6</v>
      </c>
      <c r="P107" s="21" t="n">
        <f aca="false">FIND(" ",N107,O107+1)</f>
        <v>13</v>
      </c>
      <c r="Q107" s="21" t="n">
        <f aca="false">FIND(" ",N107,P107+1)</f>
        <v>22</v>
      </c>
      <c r="R107" s="26" t="str">
        <f aca="false">LEFT(N107,O107-1)</f>
        <v>Music</v>
      </c>
      <c r="S107" s="26" t="str">
        <f aca="false">MID(N107,O107+1,P107-O107-1)</f>
        <v>Barney</v>
      </c>
      <c r="T107" s="26" t="str">
        <f aca="false">MID(N107,P107+1,Q107-P107-1)</f>
        <v>20171029</v>
      </c>
      <c r="U107" s="26" t="n">
        <f aca="false">VALUE(MID(N107,Q107+2,90))</f>
        <v>0</v>
      </c>
      <c r="V107" s="27" t="n">
        <f aca="false">DATE(2017,10,MID(T107,7,2))</f>
        <v>43037</v>
      </c>
    </row>
    <row r="108" customFormat="false" ht="14.25" hidden="false" customHeight="false" outlineLevel="0" collapsed="false">
      <c r="A108" s="23" t="n">
        <f aca="false">A107+1</f>
        <v>104</v>
      </c>
      <c r="B108" s="14" t="s">
        <v>122</v>
      </c>
      <c r="C108" s="21" t="n">
        <f aca="false">CODE(RIGHT(B108,1))</f>
        <v>30</v>
      </c>
      <c r="D108" s="14" t="str">
        <f aca="false">CLEAN(B108)</f>
        <v>////PR:Games__SP:Barney2017107 $1117    </v>
      </c>
      <c r="E108" s="21" t="n">
        <f aca="false">CODE(RIGHT(D108,1))</f>
        <v>32</v>
      </c>
      <c r="F108" s="14" t="str">
        <f aca="false">SUBSTITUTE(D108,_xlfn.UNICHAR(160)," ")</f>
        <v>////PR:Games__SP:Barney2017107 $1117    </v>
      </c>
      <c r="G108" s="14" t="str">
        <f aca="false">SUBSTITUTE(F108,"/","")</f>
        <v>PR:Games__SP:Barney2017107 $1117    </v>
      </c>
      <c r="H108" s="14" t="str">
        <f aca="false">SUBSTITUTE(G108,"_"," ")</f>
        <v>PR:Games  SP:Barney2017107 $1117    </v>
      </c>
      <c r="I108" s="14" t="str">
        <f aca="false">TRIM(H108)</f>
        <v>PR:Games SP:Barney2017107 $1117</v>
      </c>
      <c r="J108" s="21" t="n">
        <f aca="false">LEN(I108)</f>
        <v>31</v>
      </c>
      <c r="K108" s="21" t="n">
        <f aca="false">CODE(RIGHT(I108,1))</f>
        <v>55</v>
      </c>
      <c r="L108" s="14" t="str">
        <f aca="false">SUBSTITUTE(I108,"PR:","")</f>
        <v>Games SP:Barney2017107 $1117</v>
      </c>
      <c r="M108" s="14" t="str">
        <f aca="false">SUBSTITUTE(L108,"SP:","")</f>
        <v>Games Barney2017107 $1117</v>
      </c>
      <c r="N108" s="15" t="str">
        <f aca="false">SUBSTITUTE(M108,"201710"," 201710")</f>
        <v>Games Barney 2017107 $1117</v>
      </c>
      <c r="O108" s="21" t="n">
        <f aca="false">FIND(" ",N108)</f>
        <v>6</v>
      </c>
      <c r="P108" s="21" t="n">
        <f aca="false">FIND(" ",N108,O108+1)</f>
        <v>13</v>
      </c>
      <c r="Q108" s="21" t="n">
        <f aca="false">FIND(" ",N108,P108+1)</f>
        <v>21</v>
      </c>
      <c r="R108" s="26" t="str">
        <f aca="false">LEFT(N108,O108-1)</f>
        <v>Games</v>
      </c>
      <c r="S108" s="26" t="str">
        <f aca="false">MID(N108,O108+1,P108-O108-1)</f>
        <v>Barney</v>
      </c>
      <c r="T108" s="26" t="str">
        <f aca="false">MID(N108,P108+1,Q108-P108-1)</f>
        <v>2017107</v>
      </c>
      <c r="U108" s="26" t="n">
        <f aca="false">VALUE(MID(N108,Q108+2,90))</f>
        <v>1117</v>
      </c>
      <c r="V108" s="27" t="n">
        <f aca="false">DATE(2017,10,MID(T108,7,2))</f>
        <v>43015</v>
      </c>
    </row>
    <row r="109" customFormat="false" ht="14.25" hidden="false" customHeight="false" outlineLevel="0" collapsed="false">
      <c r="A109" s="23" t="n">
        <f aca="false">A108+1</f>
        <v>105</v>
      </c>
      <c r="B109" s="14" t="s">
        <v>123</v>
      </c>
      <c r="C109" s="21" t="n">
        <f aca="false">CODE(RIGHT(B109,1))</f>
        <v>31</v>
      </c>
      <c r="D109" s="14" t="str">
        <f aca="false">CLEAN(B109)</f>
        <v>////PR:Music___SP:Barney2017105   $1492  </v>
      </c>
      <c r="E109" s="21" t="n">
        <f aca="false">CODE(RIGHT(D109,1))</f>
        <v>32</v>
      </c>
      <c r="F109" s="14" t="str">
        <f aca="false">SUBSTITUTE(D109,_xlfn.UNICHAR(160)," ")</f>
        <v>////PR:Music___SP:Barney2017105   $1492  </v>
      </c>
      <c r="G109" s="14" t="str">
        <f aca="false">SUBSTITUTE(F109,"/","")</f>
        <v>PR:Music___SP:Barney2017105   $1492  </v>
      </c>
      <c r="H109" s="14" t="str">
        <f aca="false">SUBSTITUTE(G109,"_"," ")</f>
        <v>PR:Music   SP:Barney2017105   $1492  </v>
      </c>
      <c r="I109" s="14" t="str">
        <f aca="false">TRIM(H109)</f>
        <v>PR:Music SP:Barney2017105 $1492</v>
      </c>
      <c r="J109" s="21" t="n">
        <f aca="false">LEN(I109)</f>
        <v>31</v>
      </c>
      <c r="K109" s="21" t="n">
        <f aca="false">CODE(RIGHT(I109,1))</f>
        <v>50</v>
      </c>
      <c r="L109" s="14" t="str">
        <f aca="false">SUBSTITUTE(I109,"PR:","")</f>
        <v>Music SP:Barney2017105 $1492</v>
      </c>
      <c r="M109" s="14" t="str">
        <f aca="false">SUBSTITUTE(L109,"SP:","")</f>
        <v>Music Barney2017105 $1492</v>
      </c>
      <c r="N109" s="15" t="str">
        <f aca="false">SUBSTITUTE(M109,"201710"," 201710")</f>
        <v>Music Barney 2017105 $1492</v>
      </c>
      <c r="O109" s="21" t="n">
        <f aca="false">FIND(" ",N109)</f>
        <v>6</v>
      </c>
      <c r="P109" s="21" t="n">
        <f aca="false">FIND(" ",N109,O109+1)</f>
        <v>13</v>
      </c>
      <c r="Q109" s="21" t="n">
        <f aca="false">FIND(" ",N109,P109+1)</f>
        <v>21</v>
      </c>
      <c r="R109" s="26" t="str">
        <f aca="false">LEFT(N109,O109-1)</f>
        <v>Music</v>
      </c>
      <c r="S109" s="26" t="str">
        <f aca="false">MID(N109,O109+1,P109-O109-1)</f>
        <v>Barney</v>
      </c>
      <c r="T109" s="26" t="str">
        <f aca="false">MID(N109,P109+1,Q109-P109-1)</f>
        <v>2017105</v>
      </c>
      <c r="U109" s="26" t="n">
        <f aca="false">VALUE(MID(N109,Q109+2,90))</f>
        <v>1492</v>
      </c>
      <c r="V109" s="27" t="n">
        <f aca="false">DATE(2017,10,MID(T109,7,2))</f>
        <v>43013</v>
      </c>
    </row>
    <row r="110" customFormat="false" ht="14.25" hidden="false" customHeight="false" outlineLevel="0" collapsed="false">
      <c r="A110" s="23" t="n">
        <f aca="false">A109+1</f>
        <v>106</v>
      </c>
      <c r="B110" s="14" t="s">
        <v>124</v>
      </c>
      <c r="C110" s="21" t="n">
        <f aca="false">CODE(RIGHT(B110,1))</f>
        <v>28</v>
      </c>
      <c r="D110" s="14" t="str">
        <f aca="false">CLEAN(B110)</f>
        <v>/PR:Books_SP:Carol20171012    $500 </v>
      </c>
      <c r="E110" s="21" t="n">
        <f aca="false">CODE(RIGHT(D110,1))</f>
        <v>32</v>
      </c>
      <c r="F110" s="14" t="str">
        <f aca="false">SUBSTITUTE(D110,_xlfn.UNICHAR(160)," ")</f>
        <v>/PR:Books_SP:Carol20171012    $500 </v>
      </c>
      <c r="G110" s="14" t="str">
        <f aca="false">SUBSTITUTE(F110,"/","")</f>
        <v>PR:Books_SP:Carol20171012    $500 </v>
      </c>
      <c r="H110" s="14" t="str">
        <f aca="false">SUBSTITUTE(G110,"_"," ")</f>
        <v>PR:Books SP:Carol20171012    $500 </v>
      </c>
      <c r="I110" s="14" t="str">
        <f aca="false">TRIM(H110)</f>
        <v>PR:Books SP:Carol20171012 $500</v>
      </c>
      <c r="J110" s="21" t="n">
        <f aca="false">LEN(I110)</f>
        <v>30</v>
      </c>
      <c r="K110" s="21" t="n">
        <f aca="false">CODE(RIGHT(I110,1))</f>
        <v>48</v>
      </c>
      <c r="L110" s="14" t="str">
        <f aca="false">SUBSTITUTE(I110,"PR:","")</f>
        <v>Books SP:Carol20171012 $500</v>
      </c>
      <c r="M110" s="14" t="str">
        <f aca="false">SUBSTITUTE(L110,"SP:","")</f>
        <v>Books Carol20171012 $500</v>
      </c>
      <c r="N110" s="15" t="str">
        <f aca="false">SUBSTITUTE(M110,"201710"," 201710")</f>
        <v>Books Carol 20171012 $500</v>
      </c>
      <c r="O110" s="21" t="n">
        <f aca="false">FIND(" ",N110)</f>
        <v>6</v>
      </c>
      <c r="P110" s="21" t="n">
        <f aca="false">FIND(" ",N110,O110+1)</f>
        <v>12</v>
      </c>
      <c r="Q110" s="21" t="n">
        <f aca="false">FIND(" ",N110,P110+1)</f>
        <v>21</v>
      </c>
      <c r="R110" s="26" t="str">
        <f aca="false">LEFT(N110,O110-1)</f>
        <v>Books</v>
      </c>
      <c r="S110" s="26" t="str">
        <f aca="false">MID(N110,O110+1,P110-O110-1)</f>
        <v>Carol</v>
      </c>
      <c r="T110" s="26" t="str">
        <f aca="false">MID(N110,P110+1,Q110-P110-1)</f>
        <v>20171012</v>
      </c>
      <c r="U110" s="26" t="n">
        <f aca="false">VALUE(MID(N110,Q110+2,90))</f>
        <v>500</v>
      </c>
      <c r="V110" s="27" t="n">
        <f aca="false">DATE(2017,10,MID(T110,7,2))</f>
        <v>43020</v>
      </c>
    </row>
    <row r="111" customFormat="false" ht="14.25" hidden="false" customHeight="false" outlineLevel="0" collapsed="false">
      <c r="A111" s="23" t="n">
        <f aca="false">A110+1</f>
        <v>107</v>
      </c>
      <c r="B111" s="14" t="s">
        <v>125</v>
      </c>
      <c r="C111" s="21" t="n">
        <f aca="false">CODE(RIGHT(B111,1))</f>
        <v>30</v>
      </c>
      <c r="D111" s="14" t="str">
        <f aca="false">CLEAN(B111)</f>
        <v>/////PR:Books_____SP:David20171024     $528  </v>
      </c>
      <c r="E111" s="21" t="n">
        <f aca="false">CODE(RIGHT(D111,1))</f>
        <v>32</v>
      </c>
      <c r="F111" s="14" t="str">
        <f aca="false">SUBSTITUTE(D111,_xlfn.UNICHAR(160)," ")</f>
        <v>/////PR:Books_____SP:David20171024     $528  </v>
      </c>
      <c r="G111" s="14" t="str">
        <f aca="false">SUBSTITUTE(F111,"/","")</f>
        <v>PR:Books_____SP:David20171024     $528  </v>
      </c>
      <c r="H111" s="14" t="str">
        <f aca="false">SUBSTITUTE(G111,"_"," ")</f>
        <v>PR:Books     SP:David20171024     $528  </v>
      </c>
      <c r="I111" s="14" t="str">
        <f aca="false">TRIM(H111)</f>
        <v>PR:Books SP:David20171024 $528</v>
      </c>
      <c r="J111" s="21" t="n">
        <f aca="false">LEN(I111)</f>
        <v>30</v>
      </c>
      <c r="K111" s="21" t="n">
        <f aca="false">CODE(RIGHT(I111,1))</f>
        <v>56</v>
      </c>
      <c r="L111" s="14" t="str">
        <f aca="false">SUBSTITUTE(I111,"PR:","")</f>
        <v>Books SP:David20171024 $528</v>
      </c>
      <c r="M111" s="14" t="str">
        <f aca="false">SUBSTITUTE(L111,"SP:","")</f>
        <v>Books David20171024 $528</v>
      </c>
      <c r="N111" s="15" t="str">
        <f aca="false">SUBSTITUTE(M111,"201710"," 201710")</f>
        <v>Books David 20171024 $528</v>
      </c>
      <c r="O111" s="21" t="n">
        <f aca="false">FIND(" ",N111)</f>
        <v>6</v>
      </c>
      <c r="P111" s="21" t="n">
        <f aca="false">FIND(" ",N111,O111+1)</f>
        <v>12</v>
      </c>
      <c r="Q111" s="21" t="n">
        <f aca="false">FIND(" ",N111,P111+1)</f>
        <v>21</v>
      </c>
      <c r="R111" s="26" t="str">
        <f aca="false">LEFT(N111,O111-1)</f>
        <v>Books</v>
      </c>
      <c r="S111" s="26" t="str">
        <f aca="false">MID(N111,O111+1,P111-O111-1)</f>
        <v>David</v>
      </c>
      <c r="T111" s="26" t="str">
        <f aca="false">MID(N111,P111+1,Q111-P111-1)</f>
        <v>20171024</v>
      </c>
      <c r="U111" s="26" t="n">
        <f aca="false">VALUE(MID(N111,Q111+2,90))</f>
        <v>528</v>
      </c>
      <c r="V111" s="27" t="n">
        <f aca="false">DATE(2017,10,MID(T111,7,2))</f>
        <v>43032</v>
      </c>
    </row>
    <row r="112" customFormat="false" ht="14.25" hidden="false" customHeight="false" outlineLevel="0" collapsed="false">
      <c r="A112" s="23" t="n">
        <f aca="false">A111+1</f>
        <v>108</v>
      </c>
      <c r="B112" s="14" t="s">
        <v>126</v>
      </c>
      <c r="C112" s="21" t="n">
        <f aca="false">CODE(RIGHT(B112,1))</f>
        <v>30</v>
      </c>
      <c r="D112" s="14" t="str">
        <f aca="false">CLEAN(B112)</f>
        <v>//PR:Books_SP:David20171020    $825 </v>
      </c>
      <c r="E112" s="21" t="n">
        <f aca="false">CODE(RIGHT(D112,1))</f>
        <v>32</v>
      </c>
      <c r="F112" s="14" t="str">
        <f aca="false">SUBSTITUTE(D112,_xlfn.UNICHAR(160)," ")</f>
        <v>//PR:Books_SP:David20171020    $825 </v>
      </c>
      <c r="G112" s="14" t="str">
        <f aca="false">SUBSTITUTE(F112,"/","")</f>
        <v>PR:Books_SP:David20171020    $825 </v>
      </c>
      <c r="H112" s="14" t="str">
        <f aca="false">SUBSTITUTE(G112,"_"," ")</f>
        <v>PR:Books SP:David20171020    $825 </v>
      </c>
      <c r="I112" s="14" t="str">
        <f aca="false">TRIM(H112)</f>
        <v>PR:Books SP:David20171020 $825</v>
      </c>
      <c r="J112" s="21" t="n">
        <f aca="false">LEN(I112)</f>
        <v>30</v>
      </c>
      <c r="K112" s="21" t="n">
        <f aca="false">CODE(RIGHT(I112,1))</f>
        <v>53</v>
      </c>
      <c r="L112" s="14" t="str">
        <f aca="false">SUBSTITUTE(I112,"PR:","")</f>
        <v>Books SP:David20171020 $825</v>
      </c>
      <c r="M112" s="14" t="str">
        <f aca="false">SUBSTITUTE(L112,"SP:","")</f>
        <v>Books David20171020 $825</v>
      </c>
      <c r="N112" s="15" t="str">
        <f aca="false">SUBSTITUTE(M112,"201710"," 201710")</f>
        <v>Books David 20171020 $825</v>
      </c>
      <c r="O112" s="21" t="n">
        <f aca="false">FIND(" ",N112)</f>
        <v>6</v>
      </c>
      <c r="P112" s="21" t="n">
        <f aca="false">FIND(" ",N112,O112+1)</f>
        <v>12</v>
      </c>
      <c r="Q112" s="21" t="n">
        <f aca="false">FIND(" ",N112,P112+1)</f>
        <v>21</v>
      </c>
      <c r="R112" s="26" t="str">
        <f aca="false">LEFT(N112,O112-1)</f>
        <v>Books</v>
      </c>
      <c r="S112" s="26" t="str">
        <f aca="false">MID(N112,O112+1,P112-O112-1)</f>
        <v>David</v>
      </c>
      <c r="T112" s="26" t="str">
        <f aca="false">MID(N112,P112+1,Q112-P112-1)</f>
        <v>20171020</v>
      </c>
      <c r="U112" s="26" t="n">
        <f aca="false">VALUE(MID(N112,Q112+2,90))</f>
        <v>825</v>
      </c>
      <c r="V112" s="27" t="n">
        <f aca="false">DATE(2017,10,MID(T112,7,2))</f>
        <v>43028</v>
      </c>
    </row>
    <row r="113" customFormat="false" ht="14.25" hidden="false" customHeight="false" outlineLevel="0" collapsed="false">
      <c r="A113" s="23" t="n">
        <f aca="false">A112+1</f>
        <v>109</v>
      </c>
      <c r="B113" s="14" t="s">
        <v>127</v>
      </c>
      <c r="C113" s="21" t="n">
        <f aca="false">CODE(RIGHT(B113,1))</f>
        <v>29</v>
      </c>
      <c r="D113" s="14" t="str">
        <f aca="false">CLEAN(B113)</f>
        <v>////PR:Games__SP:Barney20171026    $1752  </v>
      </c>
      <c r="E113" s="21" t="n">
        <f aca="false">CODE(RIGHT(D113,1))</f>
        <v>32</v>
      </c>
      <c r="F113" s="14" t="str">
        <f aca="false">SUBSTITUTE(D113,_xlfn.UNICHAR(160)," ")</f>
        <v>////PR:Games__SP:Barney20171026    $1752  </v>
      </c>
      <c r="G113" s="14" t="str">
        <f aca="false">SUBSTITUTE(F113,"/","")</f>
        <v>PR:Games__SP:Barney20171026    $1752  </v>
      </c>
      <c r="H113" s="14" t="str">
        <f aca="false">SUBSTITUTE(G113,"_"," ")</f>
        <v>PR:Games  SP:Barney20171026    $1752  </v>
      </c>
      <c r="I113" s="14" t="str">
        <f aca="false">TRIM(H113)</f>
        <v>PR:Games SP:Barney20171026 $1752</v>
      </c>
      <c r="J113" s="21" t="n">
        <f aca="false">LEN(I113)</f>
        <v>32</v>
      </c>
      <c r="K113" s="21" t="n">
        <f aca="false">CODE(RIGHT(I113,1))</f>
        <v>50</v>
      </c>
      <c r="L113" s="14" t="str">
        <f aca="false">SUBSTITUTE(I113,"PR:","")</f>
        <v>Games SP:Barney20171026 $1752</v>
      </c>
      <c r="M113" s="14" t="str">
        <f aca="false">SUBSTITUTE(L113,"SP:","")</f>
        <v>Games Barney20171026 $1752</v>
      </c>
      <c r="N113" s="15" t="str">
        <f aca="false">SUBSTITUTE(M113,"201710"," 201710")</f>
        <v>Games Barney 20171026 $1752</v>
      </c>
      <c r="O113" s="21" t="n">
        <f aca="false">FIND(" ",N113)</f>
        <v>6</v>
      </c>
      <c r="P113" s="21" t="n">
        <f aca="false">FIND(" ",N113,O113+1)</f>
        <v>13</v>
      </c>
      <c r="Q113" s="21" t="n">
        <f aca="false">FIND(" ",N113,P113+1)</f>
        <v>22</v>
      </c>
      <c r="R113" s="26" t="str">
        <f aca="false">LEFT(N113,O113-1)</f>
        <v>Games</v>
      </c>
      <c r="S113" s="26" t="str">
        <f aca="false">MID(N113,O113+1,P113-O113-1)</f>
        <v>Barney</v>
      </c>
      <c r="T113" s="26" t="str">
        <f aca="false">MID(N113,P113+1,Q113-P113-1)</f>
        <v>20171026</v>
      </c>
      <c r="U113" s="26" t="n">
        <f aca="false">VALUE(MID(N113,Q113+2,90))</f>
        <v>1752</v>
      </c>
      <c r="V113" s="27" t="n">
        <f aca="false">DATE(2017,10,MID(T113,7,2))</f>
        <v>43034</v>
      </c>
    </row>
    <row r="114" customFormat="false" ht="14.25" hidden="false" customHeight="false" outlineLevel="0" collapsed="false">
      <c r="A114" s="23" t="n">
        <f aca="false">A113+1</f>
        <v>110</v>
      </c>
      <c r="B114" s="14" t="s">
        <v>128</v>
      </c>
      <c r="C114" s="21" t="n">
        <f aca="false">CODE(RIGHT(B114,1))</f>
        <v>30</v>
      </c>
      <c r="D114" s="14" t="str">
        <f aca="false">CLEAN(B114)</f>
        <v>/////PR:Games__SP:Barney20171010     $1954     </v>
      </c>
      <c r="E114" s="21" t="n">
        <f aca="false">CODE(RIGHT(D114,1))</f>
        <v>32</v>
      </c>
      <c r="F114" s="14" t="str">
        <f aca="false">SUBSTITUTE(D114,_xlfn.UNICHAR(160)," ")</f>
        <v>/////PR:Games__SP:Barney20171010     $1954     </v>
      </c>
      <c r="G114" s="14" t="str">
        <f aca="false">SUBSTITUTE(F114,"/","")</f>
        <v>PR:Games__SP:Barney20171010     $1954     </v>
      </c>
      <c r="H114" s="14" t="str">
        <f aca="false">SUBSTITUTE(G114,"_"," ")</f>
        <v>PR:Games  SP:Barney20171010     $1954     </v>
      </c>
      <c r="I114" s="14" t="str">
        <f aca="false">TRIM(H114)</f>
        <v>PR:Games SP:Barney20171010 $1954</v>
      </c>
      <c r="J114" s="21" t="n">
        <f aca="false">LEN(I114)</f>
        <v>32</v>
      </c>
      <c r="K114" s="21" t="n">
        <f aca="false">CODE(RIGHT(I114,1))</f>
        <v>52</v>
      </c>
      <c r="L114" s="14" t="str">
        <f aca="false">SUBSTITUTE(I114,"PR:","")</f>
        <v>Games SP:Barney20171010 $1954</v>
      </c>
      <c r="M114" s="14" t="str">
        <f aca="false">SUBSTITUTE(L114,"SP:","")</f>
        <v>Games Barney20171010 $1954</v>
      </c>
      <c r="N114" s="15" t="str">
        <f aca="false">SUBSTITUTE(M114,"201710"," 201710")</f>
        <v>Games Barney 20171010 $1954</v>
      </c>
      <c r="O114" s="21" t="n">
        <f aca="false">FIND(" ",N114)</f>
        <v>6</v>
      </c>
      <c r="P114" s="21" t="n">
        <f aca="false">FIND(" ",N114,O114+1)</f>
        <v>13</v>
      </c>
      <c r="Q114" s="21" t="n">
        <f aca="false">FIND(" ",N114,P114+1)</f>
        <v>22</v>
      </c>
      <c r="R114" s="26" t="str">
        <f aca="false">LEFT(N114,O114-1)</f>
        <v>Games</v>
      </c>
      <c r="S114" s="26" t="str">
        <f aca="false">MID(N114,O114+1,P114-O114-1)</f>
        <v>Barney</v>
      </c>
      <c r="T114" s="26" t="str">
        <f aca="false">MID(N114,P114+1,Q114-P114-1)</f>
        <v>20171010</v>
      </c>
      <c r="U114" s="26" t="n">
        <f aca="false">VALUE(MID(N114,Q114+2,90))</f>
        <v>1954</v>
      </c>
      <c r="V114" s="27" t="n">
        <f aca="false">DATE(2017,10,MID(T114,7,2))</f>
        <v>43018</v>
      </c>
    </row>
    <row r="115" customFormat="false" ht="14.25" hidden="false" customHeight="false" outlineLevel="0" collapsed="false">
      <c r="A115" s="23" t="n">
        <f aca="false">A114+1</f>
        <v>111</v>
      </c>
      <c r="B115" s="14" t="s">
        <v>129</v>
      </c>
      <c r="C115" s="21" t="n">
        <f aca="false">CODE(RIGHT(B115,1))</f>
        <v>28</v>
      </c>
      <c r="D115" s="14" t="str">
        <f aca="false">CLEAN(B115)</f>
        <v>/PR:Music_____SP:David20171025   $1179    </v>
      </c>
      <c r="E115" s="21" t="n">
        <f aca="false">CODE(RIGHT(D115,1))</f>
        <v>32</v>
      </c>
      <c r="F115" s="14" t="str">
        <f aca="false">SUBSTITUTE(D115,_xlfn.UNICHAR(160)," ")</f>
        <v>/PR:Music_____SP:David20171025   $1179    </v>
      </c>
      <c r="G115" s="14" t="str">
        <f aca="false">SUBSTITUTE(F115,"/","")</f>
        <v>PR:Music_____SP:David20171025   $1179    </v>
      </c>
      <c r="H115" s="14" t="str">
        <f aca="false">SUBSTITUTE(G115,"_"," ")</f>
        <v>PR:Music     SP:David20171025   $1179    </v>
      </c>
      <c r="I115" s="14" t="str">
        <f aca="false">TRIM(H115)</f>
        <v>PR:Music SP:David20171025 $1179</v>
      </c>
      <c r="J115" s="21" t="n">
        <f aca="false">LEN(I115)</f>
        <v>31</v>
      </c>
      <c r="K115" s="21" t="n">
        <f aca="false">CODE(RIGHT(I115,1))</f>
        <v>57</v>
      </c>
      <c r="L115" s="14" t="str">
        <f aca="false">SUBSTITUTE(I115,"PR:","")</f>
        <v>Music SP:David20171025 $1179</v>
      </c>
      <c r="M115" s="14" t="str">
        <f aca="false">SUBSTITUTE(L115,"SP:","")</f>
        <v>Music David20171025 $1179</v>
      </c>
      <c r="N115" s="15" t="str">
        <f aca="false">SUBSTITUTE(M115,"201710"," 201710")</f>
        <v>Music David 20171025 $1179</v>
      </c>
      <c r="O115" s="21" t="n">
        <f aca="false">FIND(" ",N115)</f>
        <v>6</v>
      </c>
      <c r="P115" s="21" t="n">
        <f aca="false">FIND(" ",N115,O115+1)</f>
        <v>12</v>
      </c>
      <c r="Q115" s="21" t="n">
        <f aca="false">FIND(" ",N115,P115+1)</f>
        <v>21</v>
      </c>
      <c r="R115" s="26" t="str">
        <f aca="false">LEFT(N115,O115-1)</f>
        <v>Music</v>
      </c>
      <c r="S115" s="26" t="str">
        <f aca="false">MID(N115,O115+1,P115-O115-1)</f>
        <v>David</v>
      </c>
      <c r="T115" s="26" t="str">
        <f aca="false">MID(N115,P115+1,Q115-P115-1)</f>
        <v>20171025</v>
      </c>
      <c r="U115" s="26" t="n">
        <f aca="false">VALUE(MID(N115,Q115+2,90))</f>
        <v>1179</v>
      </c>
      <c r="V115" s="27" t="n">
        <f aca="false">DATE(2017,10,MID(T115,7,2))</f>
        <v>43033</v>
      </c>
    </row>
    <row r="116" customFormat="false" ht="14.25" hidden="false" customHeight="false" outlineLevel="0" collapsed="false">
      <c r="A116" s="23" t="n">
        <f aca="false">A115+1</f>
        <v>112</v>
      </c>
      <c r="B116" s="14" t="s">
        <v>130</v>
      </c>
      <c r="C116" s="21" t="n">
        <f aca="false">CODE(RIGHT(B116,1))</f>
        <v>28</v>
      </c>
      <c r="D116" s="14" t="str">
        <f aca="false">CLEAN(B116)</f>
        <v>//PR:Clothing_SP:Barney2017106     $883  </v>
      </c>
      <c r="E116" s="21" t="n">
        <f aca="false">CODE(RIGHT(D116,1))</f>
        <v>32</v>
      </c>
      <c r="F116" s="14" t="str">
        <f aca="false">SUBSTITUTE(D116,_xlfn.UNICHAR(160)," ")</f>
        <v>//PR:Clothing_SP:Barney2017106     $883  </v>
      </c>
      <c r="G116" s="14" t="str">
        <f aca="false">SUBSTITUTE(F116,"/","")</f>
        <v>PR:Clothing_SP:Barney2017106     $883  </v>
      </c>
      <c r="H116" s="14" t="str">
        <f aca="false">SUBSTITUTE(G116,"_"," ")</f>
        <v>PR:Clothing SP:Barney2017106     $883  </v>
      </c>
      <c r="I116" s="14" t="str">
        <f aca="false">TRIM(H116)</f>
        <v>PR:Clothing SP:Barney2017106 $883</v>
      </c>
      <c r="J116" s="21" t="n">
        <f aca="false">LEN(I116)</f>
        <v>33</v>
      </c>
      <c r="K116" s="21" t="n">
        <f aca="false">CODE(RIGHT(I116,1))</f>
        <v>51</v>
      </c>
      <c r="L116" s="14" t="str">
        <f aca="false">SUBSTITUTE(I116,"PR:","")</f>
        <v>Clothing SP:Barney2017106 $883</v>
      </c>
      <c r="M116" s="14" t="str">
        <f aca="false">SUBSTITUTE(L116,"SP:","")</f>
        <v>Clothing Barney2017106 $883</v>
      </c>
      <c r="N116" s="15" t="str">
        <f aca="false">SUBSTITUTE(M116,"201710"," 201710")</f>
        <v>Clothing Barney 2017106 $883</v>
      </c>
      <c r="O116" s="21" t="n">
        <f aca="false">FIND(" ",N116)</f>
        <v>9</v>
      </c>
      <c r="P116" s="21" t="n">
        <f aca="false">FIND(" ",N116,O116+1)</f>
        <v>16</v>
      </c>
      <c r="Q116" s="21" t="n">
        <f aca="false">FIND(" ",N116,P116+1)</f>
        <v>24</v>
      </c>
      <c r="R116" s="26" t="str">
        <f aca="false">LEFT(N116,O116-1)</f>
        <v>Clothing</v>
      </c>
      <c r="S116" s="26" t="str">
        <f aca="false">MID(N116,O116+1,P116-O116-1)</f>
        <v>Barney</v>
      </c>
      <c r="T116" s="26" t="str">
        <f aca="false">MID(N116,P116+1,Q116-P116-1)</f>
        <v>2017106</v>
      </c>
      <c r="U116" s="26" t="n">
        <f aca="false">VALUE(MID(N116,Q116+2,90))</f>
        <v>883</v>
      </c>
      <c r="V116" s="27" t="n">
        <f aca="false">DATE(2017,10,MID(T116,7,2))</f>
        <v>43014</v>
      </c>
    </row>
    <row r="117" customFormat="false" ht="14.25" hidden="false" customHeight="false" outlineLevel="0" collapsed="false">
      <c r="A117" s="23" t="n">
        <f aca="false">A116+1</f>
        <v>113</v>
      </c>
      <c r="B117" s="14" t="s">
        <v>131</v>
      </c>
      <c r="C117" s="21" t="n">
        <f aca="false">CODE(RIGHT(B117,1))</f>
        <v>29</v>
      </c>
      <c r="D117" s="14" t="str">
        <f aca="false">CLEAN(B117)</f>
        <v>/////PR:Games_____SP:Alice20171010     $2259    </v>
      </c>
      <c r="E117" s="21" t="n">
        <f aca="false">CODE(RIGHT(D117,1))</f>
        <v>32</v>
      </c>
      <c r="F117" s="14" t="str">
        <f aca="false">SUBSTITUTE(D117,_xlfn.UNICHAR(160)," ")</f>
        <v>/////PR:Games_____SP:Alice20171010     $2259    </v>
      </c>
      <c r="G117" s="14" t="str">
        <f aca="false">SUBSTITUTE(F117,"/","")</f>
        <v>PR:Games_____SP:Alice20171010     $2259    </v>
      </c>
      <c r="H117" s="14" t="str">
        <f aca="false">SUBSTITUTE(G117,"_"," ")</f>
        <v>PR:Games     SP:Alice20171010     $2259    </v>
      </c>
      <c r="I117" s="14" t="str">
        <f aca="false">TRIM(H117)</f>
        <v>PR:Games SP:Alice20171010 $2259</v>
      </c>
      <c r="J117" s="21" t="n">
        <f aca="false">LEN(I117)</f>
        <v>31</v>
      </c>
      <c r="K117" s="21" t="n">
        <f aca="false">CODE(RIGHT(I117,1))</f>
        <v>57</v>
      </c>
      <c r="L117" s="14" t="str">
        <f aca="false">SUBSTITUTE(I117,"PR:","")</f>
        <v>Games SP:Alice20171010 $2259</v>
      </c>
      <c r="M117" s="14" t="str">
        <f aca="false">SUBSTITUTE(L117,"SP:","")</f>
        <v>Games Alice20171010 $2259</v>
      </c>
      <c r="N117" s="15" t="str">
        <f aca="false">SUBSTITUTE(M117,"201710"," 201710")</f>
        <v>Games Alice 20171010 $2259</v>
      </c>
      <c r="O117" s="21" t="n">
        <f aca="false">FIND(" ",N117)</f>
        <v>6</v>
      </c>
      <c r="P117" s="21" t="n">
        <f aca="false">FIND(" ",N117,O117+1)</f>
        <v>12</v>
      </c>
      <c r="Q117" s="21" t="n">
        <f aca="false">FIND(" ",N117,P117+1)</f>
        <v>21</v>
      </c>
      <c r="R117" s="26" t="str">
        <f aca="false">LEFT(N117,O117-1)</f>
        <v>Games</v>
      </c>
      <c r="S117" s="26" t="str">
        <f aca="false">MID(N117,O117+1,P117-O117-1)</f>
        <v>Alice</v>
      </c>
      <c r="T117" s="26" t="str">
        <f aca="false">MID(N117,P117+1,Q117-P117-1)</f>
        <v>20171010</v>
      </c>
      <c r="U117" s="26" t="n">
        <f aca="false">VALUE(MID(N117,Q117+2,90))</f>
        <v>2259</v>
      </c>
      <c r="V117" s="27" t="n">
        <f aca="false">DATE(2017,10,MID(T117,7,2))</f>
        <v>43018</v>
      </c>
    </row>
    <row r="118" customFormat="false" ht="14.25" hidden="false" customHeight="false" outlineLevel="0" collapsed="false">
      <c r="A118" s="23" t="n">
        <f aca="false">A117+1</f>
        <v>114</v>
      </c>
      <c r="B118" s="14" t="s">
        <v>132</v>
      </c>
      <c r="C118" s="21" t="n">
        <f aca="false">CODE(RIGHT(B118,1))</f>
        <v>31</v>
      </c>
      <c r="D118" s="14" t="str">
        <f aca="false">CLEAN(B118)</f>
        <v>///PR:Music_____SP:David20171024 $965  </v>
      </c>
      <c r="E118" s="21" t="n">
        <f aca="false">CODE(RIGHT(D118,1))</f>
        <v>32</v>
      </c>
      <c r="F118" s="14" t="str">
        <f aca="false">SUBSTITUTE(D118,_xlfn.UNICHAR(160)," ")</f>
        <v>///PR:Music_____SP:David20171024 $965  </v>
      </c>
      <c r="G118" s="14" t="str">
        <f aca="false">SUBSTITUTE(F118,"/","")</f>
        <v>PR:Music_____SP:David20171024 $965  </v>
      </c>
      <c r="H118" s="14" t="str">
        <f aca="false">SUBSTITUTE(G118,"_"," ")</f>
        <v>PR:Music     SP:David20171024 $965  </v>
      </c>
      <c r="I118" s="14" t="str">
        <f aca="false">TRIM(H118)</f>
        <v>PR:Music SP:David20171024 $965</v>
      </c>
      <c r="J118" s="21" t="n">
        <f aca="false">LEN(I118)</f>
        <v>30</v>
      </c>
      <c r="K118" s="21" t="n">
        <f aca="false">CODE(RIGHT(I118,1))</f>
        <v>53</v>
      </c>
      <c r="L118" s="14" t="str">
        <f aca="false">SUBSTITUTE(I118,"PR:","")</f>
        <v>Music SP:David20171024 $965</v>
      </c>
      <c r="M118" s="14" t="str">
        <f aca="false">SUBSTITUTE(L118,"SP:","")</f>
        <v>Music David20171024 $965</v>
      </c>
      <c r="N118" s="15" t="str">
        <f aca="false">SUBSTITUTE(M118,"201710"," 201710")</f>
        <v>Music David 20171024 $965</v>
      </c>
      <c r="O118" s="21" t="n">
        <f aca="false">FIND(" ",N118)</f>
        <v>6</v>
      </c>
      <c r="P118" s="21" t="n">
        <f aca="false">FIND(" ",N118,O118+1)</f>
        <v>12</v>
      </c>
      <c r="Q118" s="21" t="n">
        <f aca="false">FIND(" ",N118,P118+1)</f>
        <v>21</v>
      </c>
      <c r="R118" s="26" t="str">
        <f aca="false">LEFT(N118,O118-1)</f>
        <v>Music</v>
      </c>
      <c r="S118" s="26" t="str">
        <f aca="false">MID(N118,O118+1,P118-O118-1)</f>
        <v>David</v>
      </c>
      <c r="T118" s="26" t="str">
        <f aca="false">MID(N118,P118+1,Q118-P118-1)</f>
        <v>20171024</v>
      </c>
      <c r="U118" s="26" t="n">
        <f aca="false">VALUE(MID(N118,Q118+2,90))</f>
        <v>965</v>
      </c>
      <c r="V118" s="27" t="n">
        <f aca="false">DATE(2017,10,MID(T118,7,2))</f>
        <v>43032</v>
      </c>
    </row>
    <row r="119" customFormat="false" ht="14.25" hidden="false" customHeight="false" outlineLevel="0" collapsed="false">
      <c r="A119" s="23" t="n">
        <f aca="false">A118+1</f>
        <v>115</v>
      </c>
      <c r="B119" s="14" t="s">
        <v>133</v>
      </c>
      <c r="C119" s="21" t="n">
        <f aca="false">CODE(RIGHT(B119,1))</f>
        <v>30</v>
      </c>
      <c r="D119" s="14" t="str">
        <f aca="false">CLEAN(B119)</f>
        <v>//PR:Books__SP:Alice2017103     $0     </v>
      </c>
      <c r="E119" s="21" t="n">
        <f aca="false">CODE(RIGHT(D119,1))</f>
        <v>32</v>
      </c>
      <c r="F119" s="14" t="str">
        <f aca="false">SUBSTITUTE(D119,_xlfn.UNICHAR(160)," ")</f>
        <v>//PR:Books__SP:Alice2017103     $0     </v>
      </c>
      <c r="G119" s="14" t="str">
        <f aca="false">SUBSTITUTE(F119,"/","")</f>
        <v>PR:Books__SP:Alice2017103     $0     </v>
      </c>
      <c r="H119" s="14" t="str">
        <f aca="false">SUBSTITUTE(G119,"_"," ")</f>
        <v>PR:Books  SP:Alice2017103     $0     </v>
      </c>
      <c r="I119" s="14" t="str">
        <f aca="false">TRIM(H119)</f>
        <v>PR:Books SP:Alice2017103 $0</v>
      </c>
      <c r="J119" s="21" t="n">
        <f aca="false">LEN(I119)</f>
        <v>27</v>
      </c>
      <c r="K119" s="21" t="n">
        <f aca="false">CODE(RIGHT(I119,1))</f>
        <v>48</v>
      </c>
      <c r="L119" s="14" t="str">
        <f aca="false">SUBSTITUTE(I119,"PR:","")</f>
        <v>Books SP:Alice2017103 $0</v>
      </c>
      <c r="M119" s="14" t="str">
        <f aca="false">SUBSTITUTE(L119,"SP:","")</f>
        <v>Books Alice2017103 $0</v>
      </c>
      <c r="N119" s="15" t="str">
        <f aca="false">SUBSTITUTE(M119,"201710"," 201710")</f>
        <v>Books Alice 2017103 $0</v>
      </c>
      <c r="O119" s="21" t="n">
        <f aca="false">FIND(" ",N119)</f>
        <v>6</v>
      </c>
      <c r="P119" s="21" t="n">
        <f aca="false">FIND(" ",N119,O119+1)</f>
        <v>12</v>
      </c>
      <c r="Q119" s="21" t="n">
        <f aca="false">FIND(" ",N119,P119+1)</f>
        <v>20</v>
      </c>
      <c r="R119" s="26" t="str">
        <f aca="false">LEFT(N119,O119-1)</f>
        <v>Books</v>
      </c>
      <c r="S119" s="26" t="str">
        <f aca="false">MID(N119,O119+1,P119-O119-1)</f>
        <v>Alice</v>
      </c>
      <c r="T119" s="26" t="str">
        <f aca="false">MID(N119,P119+1,Q119-P119-1)</f>
        <v>2017103</v>
      </c>
      <c r="U119" s="26" t="n">
        <f aca="false">VALUE(MID(N119,Q119+2,90))</f>
        <v>0</v>
      </c>
      <c r="V119" s="27" t="n">
        <f aca="false">DATE(2017,10,MID(T119,7,2))</f>
        <v>43011</v>
      </c>
    </row>
    <row r="120" customFormat="false" ht="14.25" hidden="false" customHeight="false" outlineLevel="0" collapsed="false">
      <c r="A120" s="23" t="n">
        <f aca="false">A119+1</f>
        <v>116</v>
      </c>
      <c r="B120" s="14" t="s">
        <v>134</v>
      </c>
      <c r="C120" s="21" t="n">
        <f aca="false">CODE(RIGHT(B120,1))</f>
        <v>29</v>
      </c>
      <c r="D120" s="14" t="str">
        <f aca="false">CLEAN(B120)</f>
        <v>////PR:Books_____SP:Carol20171029   $697    </v>
      </c>
      <c r="E120" s="21" t="n">
        <f aca="false">CODE(RIGHT(D120,1))</f>
        <v>32</v>
      </c>
      <c r="F120" s="14" t="str">
        <f aca="false">SUBSTITUTE(D120,_xlfn.UNICHAR(160)," ")</f>
        <v>////PR:Books_____SP:Carol20171029   $697    </v>
      </c>
      <c r="G120" s="14" t="str">
        <f aca="false">SUBSTITUTE(F120,"/","")</f>
        <v>PR:Books_____SP:Carol20171029   $697    </v>
      </c>
      <c r="H120" s="14" t="str">
        <f aca="false">SUBSTITUTE(G120,"_"," ")</f>
        <v>PR:Books     SP:Carol20171029   $697    </v>
      </c>
      <c r="I120" s="14" t="str">
        <f aca="false">TRIM(H120)</f>
        <v>PR:Books SP:Carol20171029 $697</v>
      </c>
      <c r="J120" s="21" t="n">
        <f aca="false">LEN(I120)</f>
        <v>30</v>
      </c>
      <c r="K120" s="21" t="n">
        <f aca="false">CODE(RIGHT(I120,1))</f>
        <v>55</v>
      </c>
      <c r="L120" s="14" t="str">
        <f aca="false">SUBSTITUTE(I120,"PR:","")</f>
        <v>Books SP:Carol20171029 $697</v>
      </c>
      <c r="M120" s="14" t="str">
        <f aca="false">SUBSTITUTE(L120,"SP:","")</f>
        <v>Books Carol20171029 $697</v>
      </c>
      <c r="N120" s="15" t="str">
        <f aca="false">SUBSTITUTE(M120,"201710"," 201710")</f>
        <v>Books Carol 20171029 $697</v>
      </c>
      <c r="O120" s="21" t="n">
        <f aca="false">FIND(" ",N120)</f>
        <v>6</v>
      </c>
      <c r="P120" s="21" t="n">
        <f aca="false">FIND(" ",N120,O120+1)</f>
        <v>12</v>
      </c>
      <c r="Q120" s="21" t="n">
        <f aca="false">FIND(" ",N120,P120+1)</f>
        <v>21</v>
      </c>
      <c r="R120" s="26" t="str">
        <f aca="false">LEFT(N120,O120-1)</f>
        <v>Books</v>
      </c>
      <c r="S120" s="26" t="str">
        <f aca="false">MID(N120,O120+1,P120-O120-1)</f>
        <v>Carol</v>
      </c>
      <c r="T120" s="26" t="str">
        <f aca="false">MID(N120,P120+1,Q120-P120-1)</f>
        <v>20171029</v>
      </c>
      <c r="U120" s="26" t="n">
        <f aca="false">VALUE(MID(N120,Q120+2,90))</f>
        <v>697</v>
      </c>
      <c r="V120" s="27" t="n">
        <f aca="false">DATE(2017,10,MID(T120,7,2))</f>
        <v>43037</v>
      </c>
    </row>
    <row r="121" customFormat="false" ht="14.25" hidden="false" customHeight="false" outlineLevel="0" collapsed="false">
      <c r="A121" s="23" t="n">
        <f aca="false">A120+1</f>
        <v>117</v>
      </c>
      <c r="B121" s="14" t="s">
        <v>135</v>
      </c>
      <c r="C121" s="21" t="n">
        <f aca="false">CODE(RIGHT(B121,1))</f>
        <v>28</v>
      </c>
      <c r="D121" s="14" t="str">
        <f aca="false">CLEAN(B121)</f>
        <v>/////PR:Clothing_____SP:Carol20171029  $1227  </v>
      </c>
      <c r="E121" s="21" t="n">
        <f aca="false">CODE(RIGHT(D121,1))</f>
        <v>32</v>
      </c>
      <c r="F121" s="14" t="str">
        <f aca="false">SUBSTITUTE(D121,_xlfn.UNICHAR(160)," ")</f>
        <v>/////PR:Clothing_____SP:Carol20171029  $1227  </v>
      </c>
      <c r="G121" s="14" t="str">
        <f aca="false">SUBSTITUTE(F121,"/","")</f>
        <v>PR:Clothing_____SP:Carol20171029  $1227  </v>
      </c>
      <c r="H121" s="14" t="str">
        <f aca="false">SUBSTITUTE(G121,"_"," ")</f>
        <v>PR:Clothing     SP:Carol20171029  $1227  </v>
      </c>
      <c r="I121" s="14" t="str">
        <f aca="false">TRIM(H121)</f>
        <v>PR:Clothing SP:Carol20171029 $1227</v>
      </c>
      <c r="J121" s="21" t="n">
        <f aca="false">LEN(I121)</f>
        <v>34</v>
      </c>
      <c r="K121" s="21" t="n">
        <f aca="false">CODE(RIGHT(I121,1))</f>
        <v>55</v>
      </c>
      <c r="L121" s="14" t="str">
        <f aca="false">SUBSTITUTE(I121,"PR:","")</f>
        <v>Clothing SP:Carol20171029 $1227</v>
      </c>
      <c r="M121" s="14" t="str">
        <f aca="false">SUBSTITUTE(L121,"SP:","")</f>
        <v>Clothing Carol20171029 $1227</v>
      </c>
      <c r="N121" s="15" t="str">
        <f aca="false">SUBSTITUTE(M121,"201710"," 201710")</f>
        <v>Clothing Carol 20171029 $1227</v>
      </c>
      <c r="O121" s="21" t="n">
        <f aca="false">FIND(" ",N121)</f>
        <v>9</v>
      </c>
      <c r="P121" s="21" t="n">
        <f aca="false">FIND(" ",N121,O121+1)</f>
        <v>15</v>
      </c>
      <c r="Q121" s="21" t="n">
        <f aca="false">FIND(" ",N121,P121+1)</f>
        <v>24</v>
      </c>
      <c r="R121" s="26" t="str">
        <f aca="false">LEFT(N121,O121-1)</f>
        <v>Clothing</v>
      </c>
      <c r="S121" s="26" t="str">
        <f aca="false">MID(N121,O121+1,P121-O121-1)</f>
        <v>Carol</v>
      </c>
      <c r="T121" s="26" t="str">
        <f aca="false">MID(N121,P121+1,Q121-P121-1)</f>
        <v>20171029</v>
      </c>
      <c r="U121" s="26" t="n">
        <f aca="false">VALUE(MID(N121,Q121+2,90))</f>
        <v>1227</v>
      </c>
      <c r="V121" s="27" t="n">
        <f aca="false">DATE(2017,10,MID(T121,7,2))</f>
        <v>43037</v>
      </c>
    </row>
    <row r="122" customFormat="false" ht="14.25" hidden="false" customHeight="false" outlineLevel="0" collapsed="false">
      <c r="A122" s="23" t="n">
        <f aca="false">A121+1</f>
        <v>118</v>
      </c>
      <c r="B122" s="14" t="s">
        <v>136</v>
      </c>
      <c r="C122" s="21" t="n">
        <f aca="false">CODE(RIGHT(B122,1))</f>
        <v>29</v>
      </c>
      <c r="D122" s="14" t="str">
        <f aca="false">CLEAN(B122)</f>
        <v>/PR:Music_____SP:Carol2017103  $1061    </v>
      </c>
      <c r="E122" s="21" t="n">
        <f aca="false">CODE(RIGHT(D122,1))</f>
        <v>32</v>
      </c>
      <c r="F122" s="14" t="str">
        <f aca="false">SUBSTITUTE(D122,_xlfn.UNICHAR(160)," ")</f>
        <v>/PR:Music_____SP:Carol2017103  $1061    </v>
      </c>
      <c r="G122" s="14" t="str">
        <f aca="false">SUBSTITUTE(F122,"/","")</f>
        <v>PR:Music_____SP:Carol2017103  $1061    </v>
      </c>
      <c r="H122" s="14" t="str">
        <f aca="false">SUBSTITUTE(G122,"_"," ")</f>
        <v>PR:Music     SP:Carol2017103  $1061    </v>
      </c>
      <c r="I122" s="14" t="str">
        <f aca="false">TRIM(H122)</f>
        <v>PR:Music SP:Carol2017103 $1061</v>
      </c>
      <c r="J122" s="21" t="n">
        <f aca="false">LEN(I122)</f>
        <v>30</v>
      </c>
      <c r="K122" s="21" t="n">
        <f aca="false">CODE(RIGHT(I122,1))</f>
        <v>49</v>
      </c>
      <c r="L122" s="14" t="str">
        <f aca="false">SUBSTITUTE(I122,"PR:","")</f>
        <v>Music SP:Carol2017103 $1061</v>
      </c>
      <c r="M122" s="14" t="str">
        <f aca="false">SUBSTITUTE(L122,"SP:","")</f>
        <v>Music Carol2017103 $1061</v>
      </c>
      <c r="N122" s="15" t="str">
        <f aca="false">SUBSTITUTE(M122,"201710"," 201710")</f>
        <v>Music Carol 2017103 $1061</v>
      </c>
      <c r="O122" s="21" t="n">
        <f aca="false">FIND(" ",N122)</f>
        <v>6</v>
      </c>
      <c r="P122" s="21" t="n">
        <f aca="false">FIND(" ",N122,O122+1)</f>
        <v>12</v>
      </c>
      <c r="Q122" s="21" t="n">
        <f aca="false">FIND(" ",N122,P122+1)</f>
        <v>20</v>
      </c>
      <c r="R122" s="26" t="str">
        <f aca="false">LEFT(N122,O122-1)</f>
        <v>Music</v>
      </c>
      <c r="S122" s="26" t="str">
        <f aca="false">MID(N122,O122+1,P122-O122-1)</f>
        <v>Carol</v>
      </c>
      <c r="T122" s="26" t="str">
        <f aca="false">MID(N122,P122+1,Q122-P122-1)</f>
        <v>2017103</v>
      </c>
      <c r="U122" s="26" t="n">
        <f aca="false">VALUE(MID(N122,Q122+2,90))</f>
        <v>1061</v>
      </c>
      <c r="V122" s="27" t="n">
        <f aca="false">DATE(2017,10,MID(T122,7,2))</f>
        <v>43011</v>
      </c>
    </row>
    <row r="123" customFormat="false" ht="14.25" hidden="false" customHeight="false" outlineLevel="0" collapsed="false">
      <c r="A123" s="23" t="n">
        <f aca="false">A122+1</f>
        <v>119</v>
      </c>
      <c r="B123" s="14" t="s">
        <v>137</v>
      </c>
      <c r="C123" s="21" t="n">
        <f aca="false">CODE(RIGHT(B123,1))</f>
        <v>30</v>
      </c>
      <c r="D123" s="14" t="str">
        <f aca="false">CLEAN(B123)</f>
        <v>//PR:Music_____SP:Barney20171028    $925 </v>
      </c>
      <c r="E123" s="21" t="n">
        <f aca="false">CODE(RIGHT(D123,1))</f>
        <v>32</v>
      </c>
      <c r="F123" s="14" t="str">
        <f aca="false">SUBSTITUTE(D123,_xlfn.UNICHAR(160)," ")</f>
        <v>//PR:Music_____SP:Barney20171028    $925 </v>
      </c>
      <c r="G123" s="14" t="str">
        <f aca="false">SUBSTITUTE(F123,"/","")</f>
        <v>PR:Music_____SP:Barney20171028    $925 </v>
      </c>
      <c r="H123" s="14" t="str">
        <f aca="false">SUBSTITUTE(G123,"_"," ")</f>
        <v>PR:Music     SP:Barney20171028    $925 </v>
      </c>
      <c r="I123" s="14" t="str">
        <f aca="false">TRIM(H123)</f>
        <v>PR:Music SP:Barney20171028 $925</v>
      </c>
      <c r="J123" s="21" t="n">
        <f aca="false">LEN(I123)</f>
        <v>31</v>
      </c>
      <c r="K123" s="21" t="n">
        <f aca="false">CODE(RIGHT(I123,1))</f>
        <v>53</v>
      </c>
      <c r="L123" s="14" t="str">
        <f aca="false">SUBSTITUTE(I123,"PR:","")</f>
        <v>Music SP:Barney20171028 $925</v>
      </c>
      <c r="M123" s="14" t="str">
        <f aca="false">SUBSTITUTE(L123,"SP:","")</f>
        <v>Music Barney20171028 $925</v>
      </c>
      <c r="N123" s="15" t="str">
        <f aca="false">SUBSTITUTE(M123,"201710"," 201710")</f>
        <v>Music Barney 20171028 $925</v>
      </c>
      <c r="O123" s="21" t="n">
        <f aca="false">FIND(" ",N123)</f>
        <v>6</v>
      </c>
      <c r="P123" s="21" t="n">
        <f aca="false">FIND(" ",N123,O123+1)</f>
        <v>13</v>
      </c>
      <c r="Q123" s="21" t="n">
        <f aca="false">FIND(" ",N123,P123+1)</f>
        <v>22</v>
      </c>
      <c r="R123" s="26" t="str">
        <f aca="false">LEFT(N123,O123-1)</f>
        <v>Music</v>
      </c>
      <c r="S123" s="26" t="str">
        <f aca="false">MID(N123,O123+1,P123-O123-1)</f>
        <v>Barney</v>
      </c>
      <c r="T123" s="26" t="str">
        <f aca="false">MID(N123,P123+1,Q123-P123-1)</f>
        <v>20171028</v>
      </c>
      <c r="U123" s="26" t="n">
        <f aca="false">VALUE(MID(N123,Q123+2,90))</f>
        <v>925</v>
      </c>
      <c r="V123" s="27" t="n">
        <f aca="false">DATE(2017,10,MID(T123,7,2))</f>
        <v>43036</v>
      </c>
    </row>
    <row r="124" customFormat="false" ht="14.25" hidden="false" customHeight="false" outlineLevel="0" collapsed="false">
      <c r="A124" s="23" t="n">
        <f aca="false">A123+1</f>
        <v>120</v>
      </c>
      <c r="B124" s="14" t="s">
        <v>138</v>
      </c>
      <c r="C124" s="21" t="n">
        <f aca="false">CODE(RIGHT(B124,1))</f>
        <v>31</v>
      </c>
      <c r="D124" s="14" t="str">
        <f aca="false">CLEAN(B124)</f>
        <v>/////PR:Games__SP:David2017108   $2271    </v>
      </c>
      <c r="E124" s="21" t="n">
        <f aca="false">CODE(RIGHT(D124,1))</f>
        <v>32</v>
      </c>
      <c r="F124" s="14" t="str">
        <f aca="false">SUBSTITUTE(D124,_xlfn.UNICHAR(160)," ")</f>
        <v>/////PR:Games__SP:David2017108   $2271    </v>
      </c>
      <c r="G124" s="14" t="str">
        <f aca="false">SUBSTITUTE(F124,"/","")</f>
        <v>PR:Games__SP:David2017108   $2271    </v>
      </c>
      <c r="H124" s="14" t="str">
        <f aca="false">SUBSTITUTE(G124,"_"," ")</f>
        <v>PR:Games  SP:David2017108   $2271    </v>
      </c>
      <c r="I124" s="14" t="str">
        <f aca="false">TRIM(H124)</f>
        <v>PR:Games SP:David2017108 $2271</v>
      </c>
      <c r="J124" s="21" t="n">
        <f aca="false">LEN(I124)</f>
        <v>30</v>
      </c>
      <c r="K124" s="21" t="n">
        <f aca="false">CODE(RIGHT(I124,1))</f>
        <v>49</v>
      </c>
      <c r="L124" s="14" t="str">
        <f aca="false">SUBSTITUTE(I124,"PR:","")</f>
        <v>Games SP:David2017108 $2271</v>
      </c>
      <c r="M124" s="14" t="str">
        <f aca="false">SUBSTITUTE(L124,"SP:","")</f>
        <v>Games David2017108 $2271</v>
      </c>
      <c r="N124" s="15" t="str">
        <f aca="false">SUBSTITUTE(M124,"201710"," 201710")</f>
        <v>Games David 2017108 $2271</v>
      </c>
      <c r="O124" s="21" t="n">
        <f aca="false">FIND(" ",N124)</f>
        <v>6</v>
      </c>
      <c r="P124" s="21" t="n">
        <f aca="false">FIND(" ",N124,O124+1)</f>
        <v>12</v>
      </c>
      <c r="Q124" s="21" t="n">
        <f aca="false">FIND(" ",N124,P124+1)</f>
        <v>20</v>
      </c>
      <c r="R124" s="26" t="str">
        <f aca="false">LEFT(N124,O124-1)</f>
        <v>Games</v>
      </c>
      <c r="S124" s="26" t="str">
        <f aca="false">MID(N124,O124+1,P124-O124-1)</f>
        <v>David</v>
      </c>
      <c r="T124" s="26" t="str">
        <f aca="false">MID(N124,P124+1,Q124-P124-1)</f>
        <v>2017108</v>
      </c>
      <c r="U124" s="26" t="n">
        <f aca="false">VALUE(MID(N124,Q124+2,90))</f>
        <v>2271</v>
      </c>
      <c r="V124" s="27" t="n">
        <f aca="false">DATE(2017,10,MID(T124,7,2))</f>
        <v>43016</v>
      </c>
    </row>
    <row r="125" customFormat="false" ht="14.25" hidden="false" customHeight="false" outlineLevel="0" collapsed="false">
      <c r="A125" s="23" t="n">
        <f aca="false">A124+1</f>
        <v>121</v>
      </c>
      <c r="B125" s="14" t="s">
        <v>139</v>
      </c>
      <c r="C125" s="21" t="n">
        <f aca="false">CODE(RIGHT(B125,1))</f>
        <v>29</v>
      </c>
      <c r="D125" s="14" t="str">
        <f aca="false">CLEAN(B125)</f>
        <v>/PR:Music_____SP:Barney2017103    $1170   </v>
      </c>
      <c r="E125" s="21" t="n">
        <f aca="false">CODE(RIGHT(D125,1))</f>
        <v>32</v>
      </c>
      <c r="F125" s="14" t="str">
        <f aca="false">SUBSTITUTE(D125,_xlfn.UNICHAR(160)," ")</f>
        <v>/PR:Music_____SP:Barney2017103    $1170   </v>
      </c>
      <c r="G125" s="14" t="str">
        <f aca="false">SUBSTITUTE(F125,"/","")</f>
        <v>PR:Music_____SP:Barney2017103    $1170   </v>
      </c>
      <c r="H125" s="14" t="str">
        <f aca="false">SUBSTITUTE(G125,"_"," ")</f>
        <v>PR:Music     SP:Barney2017103    $1170   </v>
      </c>
      <c r="I125" s="14" t="str">
        <f aca="false">TRIM(H125)</f>
        <v>PR:Music SP:Barney2017103 $1170</v>
      </c>
      <c r="J125" s="21" t="n">
        <f aca="false">LEN(I125)</f>
        <v>31</v>
      </c>
      <c r="K125" s="21" t="n">
        <f aca="false">CODE(RIGHT(I125,1))</f>
        <v>48</v>
      </c>
      <c r="L125" s="14" t="str">
        <f aca="false">SUBSTITUTE(I125,"PR:","")</f>
        <v>Music SP:Barney2017103 $1170</v>
      </c>
      <c r="M125" s="14" t="str">
        <f aca="false">SUBSTITUTE(L125,"SP:","")</f>
        <v>Music Barney2017103 $1170</v>
      </c>
      <c r="N125" s="15" t="str">
        <f aca="false">SUBSTITUTE(M125,"201710"," 201710")</f>
        <v>Music Barney 2017103 $1170</v>
      </c>
      <c r="O125" s="21" t="n">
        <f aca="false">FIND(" ",N125)</f>
        <v>6</v>
      </c>
      <c r="P125" s="21" t="n">
        <f aca="false">FIND(" ",N125,O125+1)</f>
        <v>13</v>
      </c>
      <c r="Q125" s="21" t="n">
        <f aca="false">FIND(" ",N125,P125+1)</f>
        <v>21</v>
      </c>
      <c r="R125" s="26" t="str">
        <f aca="false">LEFT(N125,O125-1)</f>
        <v>Music</v>
      </c>
      <c r="S125" s="26" t="str">
        <f aca="false">MID(N125,O125+1,P125-O125-1)</f>
        <v>Barney</v>
      </c>
      <c r="T125" s="26" t="str">
        <f aca="false">MID(N125,P125+1,Q125-P125-1)</f>
        <v>2017103</v>
      </c>
      <c r="U125" s="26" t="n">
        <f aca="false">VALUE(MID(N125,Q125+2,90))</f>
        <v>1170</v>
      </c>
      <c r="V125" s="27" t="n">
        <f aca="false">DATE(2017,10,MID(T125,7,2))</f>
        <v>43011</v>
      </c>
    </row>
    <row r="126" customFormat="false" ht="14.25" hidden="false" customHeight="false" outlineLevel="0" collapsed="false">
      <c r="A126" s="23" t="n">
        <f aca="false">A125+1</f>
        <v>122</v>
      </c>
      <c r="B126" s="14" t="s">
        <v>140</v>
      </c>
      <c r="C126" s="21" t="n">
        <f aca="false">CODE(RIGHT(B126,1))</f>
        <v>30</v>
      </c>
      <c r="D126" s="14" t="str">
        <f aca="false">CLEAN(B126)</f>
        <v>/////PR:Clothing_SP:David20171027    $1154   </v>
      </c>
      <c r="E126" s="21" t="n">
        <f aca="false">CODE(RIGHT(D126,1))</f>
        <v>32</v>
      </c>
      <c r="F126" s="14" t="str">
        <f aca="false">SUBSTITUTE(D126,_xlfn.UNICHAR(160)," ")</f>
        <v>/////PR:Clothing_SP:David20171027    $1154   </v>
      </c>
      <c r="G126" s="14" t="str">
        <f aca="false">SUBSTITUTE(F126,"/","")</f>
        <v>PR:Clothing_SP:David20171027    $1154   </v>
      </c>
      <c r="H126" s="14" t="str">
        <f aca="false">SUBSTITUTE(G126,"_"," ")</f>
        <v>PR:Clothing SP:David20171027    $1154   </v>
      </c>
      <c r="I126" s="14" t="str">
        <f aca="false">TRIM(H126)</f>
        <v>PR:Clothing SP:David20171027 $1154</v>
      </c>
      <c r="J126" s="21" t="n">
        <f aca="false">LEN(I126)</f>
        <v>34</v>
      </c>
      <c r="K126" s="21" t="n">
        <f aca="false">CODE(RIGHT(I126,1))</f>
        <v>52</v>
      </c>
      <c r="L126" s="14" t="str">
        <f aca="false">SUBSTITUTE(I126,"PR:","")</f>
        <v>Clothing SP:David20171027 $1154</v>
      </c>
      <c r="M126" s="14" t="str">
        <f aca="false">SUBSTITUTE(L126,"SP:","")</f>
        <v>Clothing David20171027 $1154</v>
      </c>
      <c r="N126" s="15" t="str">
        <f aca="false">SUBSTITUTE(M126,"201710"," 201710")</f>
        <v>Clothing David 20171027 $1154</v>
      </c>
      <c r="O126" s="21" t="n">
        <f aca="false">FIND(" ",N126)</f>
        <v>9</v>
      </c>
      <c r="P126" s="21" t="n">
        <f aca="false">FIND(" ",N126,O126+1)</f>
        <v>15</v>
      </c>
      <c r="Q126" s="21" t="n">
        <f aca="false">FIND(" ",N126,P126+1)</f>
        <v>24</v>
      </c>
      <c r="R126" s="26" t="str">
        <f aca="false">LEFT(N126,O126-1)</f>
        <v>Clothing</v>
      </c>
      <c r="S126" s="26" t="str">
        <f aca="false">MID(N126,O126+1,P126-O126-1)</f>
        <v>David</v>
      </c>
      <c r="T126" s="26" t="str">
        <f aca="false">MID(N126,P126+1,Q126-P126-1)</f>
        <v>20171027</v>
      </c>
      <c r="U126" s="26" t="n">
        <f aca="false">VALUE(MID(N126,Q126+2,90))</f>
        <v>1154</v>
      </c>
      <c r="V126" s="27" t="n">
        <f aca="false">DATE(2017,10,MID(T126,7,2))</f>
        <v>43035</v>
      </c>
    </row>
    <row r="127" customFormat="false" ht="14.25" hidden="false" customHeight="false" outlineLevel="0" collapsed="false">
      <c r="A127" s="23" t="n">
        <f aca="false">A126+1</f>
        <v>123</v>
      </c>
      <c r="B127" s="14" t="s">
        <v>141</v>
      </c>
      <c r="C127" s="21" t="n">
        <f aca="false">CODE(RIGHT(B127,1))</f>
        <v>28</v>
      </c>
      <c r="D127" s="14" t="str">
        <f aca="false">CLEAN(B127)</f>
        <v>/////PR:Books___SP:David20171016  $598   </v>
      </c>
      <c r="E127" s="21" t="n">
        <f aca="false">CODE(RIGHT(D127,1))</f>
        <v>32</v>
      </c>
      <c r="F127" s="14" t="str">
        <f aca="false">SUBSTITUTE(D127,_xlfn.UNICHAR(160)," ")</f>
        <v>/////PR:Books___SP:David20171016  $598   </v>
      </c>
      <c r="G127" s="14" t="str">
        <f aca="false">SUBSTITUTE(F127,"/","")</f>
        <v>PR:Books___SP:David20171016  $598   </v>
      </c>
      <c r="H127" s="14" t="str">
        <f aca="false">SUBSTITUTE(G127,"_"," ")</f>
        <v>PR:Books   SP:David20171016  $598   </v>
      </c>
      <c r="I127" s="14" t="str">
        <f aca="false">TRIM(H127)</f>
        <v>PR:Books SP:David20171016 $598</v>
      </c>
      <c r="J127" s="21" t="n">
        <f aca="false">LEN(I127)</f>
        <v>30</v>
      </c>
      <c r="K127" s="21" t="n">
        <f aca="false">CODE(RIGHT(I127,1))</f>
        <v>56</v>
      </c>
      <c r="L127" s="14" t="str">
        <f aca="false">SUBSTITUTE(I127,"PR:","")</f>
        <v>Books SP:David20171016 $598</v>
      </c>
      <c r="M127" s="14" t="str">
        <f aca="false">SUBSTITUTE(L127,"SP:","")</f>
        <v>Books David20171016 $598</v>
      </c>
      <c r="N127" s="15" t="str">
        <f aca="false">SUBSTITUTE(M127,"201710"," 201710")</f>
        <v>Books David 20171016 $598</v>
      </c>
      <c r="O127" s="21" t="n">
        <f aca="false">FIND(" ",N127)</f>
        <v>6</v>
      </c>
      <c r="P127" s="21" t="n">
        <f aca="false">FIND(" ",N127,O127+1)</f>
        <v>12</v>
      </c>
      <c r="Q127" s="21" t="n">
        <f aca="false">FIND(" ",N127,P127+1)</f>
        <v>21</v>
      </c>
      <c r="R127" s="26" t="str">
        <f aca="false">LEFT(N127,O127-1)</f>
        <v>Books</v>
      </c>
      <c r="S127" s="26" t="str">
        <f aca="false">MID(N127,O127+1,P127-O127-1)</f>
        <v>David</v>
      </c>
      <c r="T127" s="26" t="str">
        <f aca="false">MID(N127,P127+1,Q127-P127-1)</f>
        <v>20171016</v>
      </c>
      <c r="U127" s="26" t="n">
        <f aca="false">VALUE(MID(N127,Q127+2,90))</f>
        <v>598</v>
      </c>
      <c r="V127" s="27" t="n">
        <f aca="false">DATE(2017,10,MID(T127,7,2))</f>
        <v>43024</v>
      </c>
    </row>
    <row r="128" customFormat="false" ht="14.25" hidden="false" customHeight="false" outlineLevel="0" collapsed="false">
      <c r="A128" s="23" t="n">
        <f aca="false">A127+1</f>
        <v>124</v>
      </c>
      <c r="B128" s="14" t="s">
        <v>142</v>
      </c>
      <c r="C128" s="21" t="n">
        <f aca="false">CODE(RIGHT(B128,1))</f>
        <v>28</v>
      </c>
      <c r="D128" s="14" t="str">
        <f aca="false">CLEAN(B128)</f>
        <v>///PR:Games___SP:Alice20171016  $1101     </v>
      </c>
      <c r="E128" s="21" t="n">
        <f aca="false">CODE(RIGHT(D128,1))</f>
        <v>32</v>
      </c>
      <c r="F128" s="14" t="str">
        <f aca="false">SUBSTITUTE(D128,_xlfn.UNICHAR(160)," ")</f>
        <v>///PR:Games___SP:Alice20171016  $1101     </v>
      </c>
      <c r="G128" s="14" t="str">
        <f aca="false">SUBSTITUTE(F128,"/","")</f>
        <v>PR:Games___SP:Alice20171016  $1101     </v>
      </c>
      <c r="H128" s="14" t="str">
        <f aca="false">SUBSTITUTE(G128,"_"," ")</f>
        <v>PR:Games   SP:Alice20171016  $1101     </v>
      </c>
      <c r="I128" s="14" t="str">
        <f aca="false">TRIM(H128)</f>
        <v>PR:Games SP:Alice20171016 $1101</v>
      </c>
      <c r="J128" s="21" t="n">
        <f aca="false">LEN(I128)</f>
        <v>31</v>
      </c>
      <c r="K128" s="21" t="n">
        <f aca="false">CODE(RIGHT(I128,1))</f>
        <v>49</v>
      </c>
      <c r="L128" s="14" t="str">
        <f aca="false">SUBSTITUTE(I128,"PR:","")</f>
        <v>Games SP:Alice20171016 $1101</v>
      </c>
      <c r="M128" s="14" t="str">
        <f aca="false">SUBSTITUTE(L128,"SP:","")</f>
        <v>Games Alice20171016 $1101</v>
      </c>
      <c r="N128" s="15" t="str">
        <f aca="false">SUBSTITUTE(M128,"201710"," 201710")</f>
        <v>Games Alice 20171016 $1101</v>
      </c>
      <c r="O128" s="21" t="n">
        <f aca="false">FIND(" ",N128)</f>
        <v>6</v>
      </c>
      <c r="P128" s="21" t="n">
        <f aca="false">FIND(" ",N128,O128+1)</f>
        <v>12</v>
      </c>
      <c r="Q128" s="21" t="n">
        <f aca="false">FIND(" ",N128,P128+1)</f>
        <v>21</v>
      </c>
      <c r="R128" s="26" t="str">
        <f aca="false">LEFT(N128,O128-1)</f>
        <v>Games</v>
      </c>
      <c r="S128" s="26" t="str">
        <f aca="false">MID(N128,O128+1,P128-O128-1)</f>
        <v>Alice</v>
      </c>
      <c r="T128" s="26" t="str">
        <f aca="false">MID(N128,P128+1,Q128-P128-1)</f>
        <v>20171016</v>
      </c>
      <c r="U128" s="26" t="n">
        <f aca="false">VALUE(MID(N128,Q128+2,90))</f>
        <v>1101</v>
      </c>
      <c r="V128" s="27" t="n">
        <f aca="false">DATE(2017,10,MID(T128,7,2))</f>
        <v>43024</v>
      </c>
    </row>
    <row r="129" customFormat="false" ht="14.25" hidden="false" customHeight="false" outlineLevel="0" collapsed="false">
      <c r="A129" s="23" t="n">
        <f aca="false">A128+1</f>
        <v>125</v>
      </c>
      <c r="B129" s="14" t="s">
        <v>143</v>
      </c>
      <c r="C129" s="21" t="n">
        <f aca="false">CODE(RIGHT(B129,1))</f>
        <v>28</v>
      </c>
      <c r="D129" s="14" t="str">
        <f aca="false">CLEAN(B129)</f>
        <v>///PR:Books____SP:Barney20171028    $905 </v>
      </c>
      <c r="E129" s="21" t="n">
        <f aca="false">CODE(RIGHT(D129,1))</f>
        <v>32</v>
      </c>
      <c r="F129" s="14" t="str">
        <f aca="false">SUBSTITUTE(D129,_xlfn.UNICHAR(160)," ")</f>
        <v>///PR:Books____SP:Barney20171028    $905 </v>
      </c>
      <c r="G129" s="14" t="str">
        <f aca="false">SUBSTITUTE(F129,"/","")</f>
        <v>PR:Books____SP:Barney20171028    $905 </v>
      </c>
      <c r="H129" s="14" t="str">
        <f aca="false">SUBSTITUTE(G129,"_"," ")</f>
        <v>PR:Books    SP:Barney20171028    $905 </v>
      </c>
      <c r="I129" s="14" t="str">
        <f aca="false">TRIM(H129)</f>
        <v>PR:Books SP:Barney20171028 $905</v>
      </c>
      <c r="J129" s="21" t="n">
        <f aca="false">LEN(I129)</f>
        <v>31</v>
      </c>
      <c r="K129" s="21" t="n">
        <f aca="false">CODE(RIGHT(I129,1))</f>
        <v>53</v>
      </c>
      <c r="L129" s="14" t="str">
        <f aca="false">SUBSTITUTE(I129,"PR:","")</f>
        <v>Books SP:Barney20171028 $905</v>
      </c>
      <c r="M129" s="14" t="str">
        <f aca="false">SUBSTITUTE(L129,"SP:","")</f>
        <v>Books Barney20171028 $905</v>
      </c>
      <c r="N129" s="15" t="str">
        <f aca="false">SUBSTITUTE(M129,"201710"," 201710")</f>
        <v>Books Barney 20171028 $905</v>
      </c>
      <c r="O129" s="21" t="n">
        <f aca="false">FIND(" ",N129)</f>
        <v>6</v>
      </c>
      <c r="P129" s="21" t="n">
        <f aca="false">FIND(" ",N129,O129+1)</f>
        <v>13</v>
      </c>
      <c r="Q129" s="21" t="n">
        <f aca="false">FIND(" ",N129,P129+1)</f>
        <v>22</v>
      </c>
      <c r="R129" s="26" t="str">
        <f aca="false">LEFT(N129,O129-1)</f>
        <v>Books</v>
      </c>
      <c r="S129" s="26" t="str">
        <f aca="false">MID(N129,O129+1,P129-O129-1)</f>
        <v>Barney</v>
      </c>
      <c r="T129" s="26" t="str">
        <f aca="false">MID(N129,P129+1,Q129-P129-1)</f>
        <v>20171028</v>
      </c>
      <c r="U129" s="26" t="n">
        <f aca="false">VALUE(MID(N129,Q129+2,90))</f>
        <v>905</v>
      </c>
      <c r="V129" s="27" t="n">
        <f aca="false">DATE(2017,10,MID(T129,7,2))</f>
        <v>43036</v>
      </c>
    </row>
    <row r="130" customFormat="false" ht="14.25" hidden="false" customHeight="false" outlineLevel="0" collapsed="false">
      <c r="A130" s="23" t="n">
        <f aca="false">A129+1</f>
        <v>126</v>
      </c>
      <c r="B130" s="14" t="s">
        <v>144</v>
      </c>
      <c r="C130" s="21" t="n">
        <f aca="false">CODE(RIGHT(B130,1))</f>
        <v>29</v>
      </c>
      <c r="D130" s="14" t="str">
        <f aca="false">CLEAN(B130)</f>
        <v>////PR:Books____SP:Barney2017104    $818  </v>
      </c>
      <c r="E130" s="21" t="n">
        <f aca="false">CODE(RIGHT(D130,1))</f>
        <v>32</v>
      </c>
      <c r="F130" s="14" t="str">
        <f aca="false">SUBSTITUTE(D130,_xlfn.UNICHAR(160)," ")</f>
        <v>////PR:Books____SP:Barney2017104    $818  </v>
      </c>
      <c r="G130" s="14" t="str">
        <f aca="false">SUBSTITUTE(F130,"/","")</f>
        <v>PR:Books____SP:Barney2017104    $818  </v>
      </c>
      <c r="H130" s="14" t="str">
        <f aca="false">SUBSTITUTE(G130,"_"," ")</f>
        <v>PR:Books    SP:Barney2017104    $818  </v>
      </c>
      <c r="I130" s="14" t="str">
        <f aca="false">TRIM(H130)</f>
        <v>PR:Books SP:Barney2017104 $818</v>
      </c>
      <c r="J130" s="21" t="n">
        <f aca="false">LEN(I130)</f>
        <v>30</v>
      </c>
      <c r="K130" s="21" t="n">
        <f aca="false">CODE(RIGHT(I130,1))</f>
        <v>56</v>
      </c>
      <c r="L130" s="14" t="str">
        <f aca="false">SUBSTITUTE(I130,"PR:","")</f>
        <v>Books SP:Barney2017104 $818</v>
      </c>
      <c r="M130" s="14" t="str">
        <f aca="false">SUBSTITUTE(L130,"SP:","")</f>
        <v>Books Barney2017104 $818</v>
      </c>
      <c r="N130" s="15" t="str">
        <f aca="false">SUBSTITUTE(M130,"201710"," 201710")</f>
        <v>Books Barney 2017104 $818</v>
      </c>
      <c r="O130" s="21" t="n">
        <f aca="false">FIND(" ",N130)</f>
        <v>6</v>
      </c>
      <c r="P130" s="21" t="n">
        <f aca="false">FIND(" ",N130,O130+1)</f>
        <v>13</v>
      </c>
      <c r="Q130" s="21" t="n">
        <f aca="false">FIND(" ",N130,P130+1)</f>
        <v>21</v>
      </c>
      <c r="R130" s="26" t="str">
        <f aca="false">LEFT(N130,O130-1)</f>
        <v>Books</v>
      </c>
      <c r="S130" s="26" t="str">
        <f aca="false">MID(N130,O130+1,P130-O130-1)</f>
        <v>Barney</v>
      </c>
      <c r="T130" s="26" t="str">
        <f aca="false">MID(N130,P130+1,Q130-P130-1)</f>
        <v>2017104</v>
      </c>
      <c r="U130" s="26" t="n">
        <f aca="false">VALUE(MID(N130,Q130+2,90))</f>
        <v>818</v>
      </c>
      <c r="V130" s="27" t="n">
        <f aca="false">DATE(2017,10,MID(T130,7,2))</f>
        <v>43012</v>
      </c>
    </row>
    <row r="131" customFormat="false" ht="14.25" hidden="false" customHeight="false" outlineLevel="0" collapsed="false">
      <c r="A131" s="23" t="n">
        <f aca="false">A130+1</f>
        <v>127</v>
      </c>
      <c r="B131" s="14" t="s">
        <v>145</v>
      </c>
      <c r="C131" s="21" t="n">
        <f aca="false">CODE(RIGHT(B131,1))</f>
        <v>28</v>
      </c>
      <c r="D131" s="14" t="str">
        <f aca="false">CLEAN(B131)</f>
        <v>/PR:Games____SP:David2017104     $0   </v>
      </c>
      <c r="E131" s="21" t="n">
        <f aca="false">CODE(RIGHT(D131,1))</f>
        <v>32</v>
      </c>
      <c r="F131" s="14" t="str">
        <f aca="false">SUBSTITUTE(D131,_xlfn.UNICHAR(160)," ")</f>
        <v>/PR:Games____SP:David2017104     $0   </v>
      </c>
      <c r="G131" s="14" t="str">
        <f aca="false">SUBSTITUTE(F131,"/","")</f>
        <v>PR:Games____SP:David2017104     $0   </v>
      </c>
      <c r="H131" s="14" t="str">
        <f aca="false">SUBSTITUTE(G131,"_"," ")</f>
        <v>PR:Games    SP:David2017104     $0   </v>
      </c>
      <c r="I131" s="14" t="str">
        <f aca="false">TRIM(H131)</f>
        <v>PR:Games SP:David2017104 $0</v>
      </c>
      <c r="J131" s="21" t="n">
        <f aca="false">LEN(I131)</f>
        <v>27</v>
      </c>
      <c r="K131" s="21" t="n">
        <f aca="false">CODE(RIGHT(I131,1))</f>
        <v>48</v>
      </c>
      <c r="L131" s="14" t="str">
        <f aca="false">SUBSTITUTE(I131,"PR:","")</f>
        <v>Games SP:David2017104 $0</v>
      </c>
      <c r="M131" s="14" t="str">
        <f aca="false">SUBSTITUTE(L131,"SP:","")</f>
        <v>Games David2017104 $0</v>
      </c>
      <c r="N131" s="15" t="str">
        <f aca="false">SUBSTITUTE(M131,"201710"," 201710")</f>
        <v>Games David 2017104 $0</v>
      </c>
      <c r="O131" s="21" t="n">
        <f aca="false">FIND(" ",N131)</f>
        <v>6</v>
      </c>
      <c r="P131" s="21" t="n">
        <f aca="false">FIND(" ",N131,O131+1)</f>
        <v>12</v>
      </c>
      <c r="Q131" s="21" t="n">
        <f aca="false">FIND(" ",N131,P131+1)</f>
        <v>20</v>
      </c>
      <c r="R131" s="26" t="str">
        <f aca="false">LEFT(N131,O131-1)</f>
        <v>Games</v>
      </c>
      <c r="S131" s="26" t="str">
        <f aca="false">MID(N131,O131+1,P131-O131-1)</f>
        <v>David</v>
      </c>
      <c r="T131" s="26" t="str">
        <f aca="false">MID(N131,P131+1,Q131-P131-1)</f>
        <v>2017104</v>
      </c>
      <c r="U131" s="26" t="n">
        <f aca="false">VALUE(MID(N131,Q131+2,90))</f>
        <v>0</v>
      </c>
      <c r="V131" s="27" t="n">
        <f aca="false">DATE(2017,10,MID(T131,7,2))</f>
        <v>43012</v>
      </c>
    </row>
    <row r="132" customFormat="false" ht="14.25" hidden="false" customHeight="false" outlineLevel="0" collapsed="false">
      <c r="A132" s="23" t="n">
        <f aca="false">A131+1</f>
        <v>128</v>
      </c>
      <c r="B132" s="14" t="s">
        <v>146</v>
      </c>
      <c r="C132" s="21" t="n">
        <f aca="false">CODE(RIGHT(B132,1))</f>
        <v>30</v>
      </c>
      <c r="D132" s="14" t="str">
        <f aca="false">CLEAN(B132)</f>
        <v>//PR:Books___SP:Alice20171017  $820     </v>
      </c>
      <c r="E132" s="21" t="n">
        <f aca="false">CODE(RIGHT(D132,1))</f>
        <v>32</v>
      </c>
      <c r="F132" s="14" t="str">
        <f aca="false">SUBSTITUTE(D132,_xlfn.UNICHAR(160)," ")</f>
        <v>//PR:Books___SP:Alice20171017  $820     </v>
      </c>
      <c r="G132" s="14" t="str">
        <f aca="false">SUBSTITUTE(F132,"/","")</f>
        <v>PR:Books___SP:Alice20171017  $820     </v>
      </c>
      <c r="H132" s="14" t="str">
        <f aca="false">SUBSTITUTE(G132,"_"," ")</f>
        <v>PR:Books   SP:Alice20171017  $820     </v>
      </c>
      <c r="I132" s="14" t="str">
        <f aca="false">TRIM(H132)</f>
        <v>PR:Books SP:Alice20171017 $820</v>
      </c>
      <c r="J132" s="21" t="n">
        <f aca="false">LEN(I132)</f>
        <v>30</v>
      </c>
      <c r="K132" s="21" t="n">
        <f aca="false">CODE(RIGHT(I132,1))</f>
        <v>48</v>
      </c>
      <c r="L132" s="14" t="str">
        <f aca="false">SUBSTITUTE(I132,"PR:","")</f>
        <v>Books SP:Alice20171017 $820</v>
      </c>
      <c r="M132" s="14" t="str">
        <f aca="false">SUBSTITUTE(L132,"SP:","")</f>
        <v>Books Alice20171017 $820</v>
      </c>
      <c r="N132" s="15" t="str">
        <f aca="false">SUBSTITUTE(M132,"201710"," 201710")</f>
        <v>Books Alice 20171017 $820</v>
      </c>
      <c r="O132" s="21" t="n">
        <f aca="false">FIND(" ",N132)</f>
        <v>6</v>
      </c>
      <c r="P132" s="21" t="n">
        <f aca="false">FIND(" ",N132,O132+1)</f>
        <v>12</v>
      </c>
      <c r="Q132" s="21" t="n">
        <f aca="false">FIND(" ",N132,P132+1)</f>
        <v>21</v>
      </c>
      <c r="R132" s="26" t="str">
        <f aca="false">LEFT(N132,O132-1)</f>
        <v>Books</v>
      </c>
      <c r="S132" s="26" t="str">
        <f aca="false">MID(N132,O132+1,P132-O132-1)</f>
        <v>Alice</v>
      </c>
      <c r="T132" s="26" t="str">
        <f aca="false">MID(N132,P132+1,Q132-P132-1)</f>
        <v>20171017</v>
      </c>
      <c r="U132" s="26" t="n">
        <f aca="false">VALUE(MID(N132,Q132+2,90))</f>
        <v>820</v>
      </c>
      <c r="V132" s="27" t="n">
        <f aca="false">DATE(2017,10,MID(T132,7,2))</f>
        <v>43025</v>
      </c>
    </row>
    <row r="133" customFormat="false" ht="14.25" hidden="false" customHeight="false" outlineLevel="0" collapsed="false">
      <c r="A133" s="23" t="n">
        <f aca="false">A132+1</f>
        <v>129</v>
      </c>
      <c r="B133" s="14" t="s">
        <v>147</v>
      </c>
      <c r="C133" s="21" t="n">
        <f aca="false">CODE(RIGHT(B133,1))</f>
        <v>28</v>
      </c>
      <c r="D133" s="14" t="str">
        <f aca="false">CLEAN(B133)</f>
        <v>/PR:Games__SP:Carol2017103 $2228   </v>
      </c>
      <c r="E133" s="21" t="n">
        <f aca="false">CODE(RIGHT(D133,1))</f>
        <v>32</v>
      </c>
      <c r="F133" s="14" t="str">
        <f aca="false">SUBSTITUTE(D133,_xlfn.UNICHAR(160)," ")</f>
        <v>/PR:Games__SP:Carol2017103 $2228   </v>
      </c>
      <c r="G133" s="14" t="str">
        <f aca="false">SUBSTITUTE(F133,"/","")</f>
        <v>PR:Games__SP:Carol2017103 $2228   </v>
      </c>
      <c r="H133" s="14" t="str">
        <f aca="false">SUBSTITUTE(G133,"_"," ")</f>
        <v>PR:Games  SP:Carol2017103 $2228   </v>
      </c>
      <c r="I133" s="14" t="str">
        <f aca="false">TRIM(H133)</f>
        <v>PR:Games SP:Carol2017103 $2228</v>
      </c>
      <c r="J133" s="21" t="n">
        <f aca="false">LEN(I133)</f>
        <v>30</v>
      </c>
      <c r="K133" s="21" t="n">
        <f aca="false">CODE(RIGHT(I133,1))</f>
        <v>56</v>
      </c>
      <c r="L133" s="14" t="str">
        <f aca="false">SUBSTITUTE(I133,"PR:","")</f>
        <v>Games SP:Carol2017103 $2228</v>
      </c>
      <c r="M133" s="14" t="str">
        <f aca="false">SUBSTITUTE(L133,"SP:","")</f>
        <v>Games Carol2017103 $2228</v>
      </c>
      <c r="N133" s="15" t="str">
        <f aca="false">SUBSTITUTE(M133,"201710"," 201710")</f>
        <v>Games Carol 2017103 $2228</v>
      </c>
      <c r="O133" s="21" t="n">
        <f aca="false">FIND(" ",N133)</f>
        <v>6</v>
      </c>
      <c r="P133" s="21" t="n">
        <f aca="false">FIND(" ",N133,O133+1)</f>
        <v>12</v>
      </c>
      <c r="Q133" s="21" t="n">
        <f aca="false">FIND(" ",N133,P133+1)</f>
        <v>20</v>
      </c>
      <c r="R133" s="26" t="str">
        <f aca="false">LEFT(N133,O133-1)</f>
        <v>Games</v>
      </c>
      <c r="S133" s="26" t="str">
        <f aca="false">MID(N133,O133+1,P133-O133-1)</f>
        <v>Carol</v>
      </c>
      <c r="T133" s="26" t="str">
        <f aca="false">MID(N133,P133+1,Q133-P133-1)</f>
        <v>2017103</v>
      </c>
      <c r="U133" s="26" t="n">
        <f aca="false">VALUE(MID(N133,Q133+2,90))</f>
        <v>2228</v>
      </c>
      <c r="V133" s="27" t="n">
        <f aca="false">DATE(2017,10,MID(T133,7,2))</f>
        <v>43011</v>
      </c>
    </row>
    <row r="134" customFormat="false" ht="14.25" hidden="false" customHeight="false" outlineLevel="0" collapsed="false">
      <c r="A134" s="23" t="n">
        <f aca="false">A133+1</f>
        <v>130</v>
      </c>
      <c r="B134" s="14" t="s">
        <v>148</v>
      </c>
      <c r="C134" s="21" t="n">
        <f aca="false">CODE(RIGHT(B134,1))</f>
        <v>31</v>
      </c>
      <c r="D134" s="14" t="str">
        <f aca="false">CLEAN(B134)</f>
        <v>///PR:Games____SP:David20171012    $0  </v>
      </c>
      <c r="E134" s="21" t="n">
        <f aca="false">CODE(RIGHT(D134,1))</f>
        <v>32</v>
      </c>
      <c r="F134" s="14" t="str">
        <f aca="false">SUBSTITUTE(D134,_xlfn.UNICHAR(160)," ")</f>
        <v>///PR:Games____SP:David20171012    $0  </v>
      </c>
      <c r="G134" s="14" t="str">
        <f aca="false">SUBSTITUTE(F134,"/","")</f>
        <v>PR:Games____SP:David20171012    $0  </v>
      </c>
      <c r="H134" s="14" t="str">
        <f aca="false">SUBSTITUTE(G134,"_"," ")</f>
        <v>PR:Games    SP:David20171012    $0  </v>
      </c>
      <c r="I134" s="14" t="str">
        <f aca="false">TRIM(H134)</f>
        <v>PR:Games SP:David20171012 $0</v>
      </c>
      <c r="J134" s="21" t="n">
        <f aca="false">LEN(I134)</f>
        <v>28</v>
      </c>
      <c r="K134" s="21" t="n">
        <f aca="false">CODE(RIGHT(I134,1))</f>
        <v>48</v>
      </c>
      <c r="L134" s="14" t="str">
        <f aca="false">SUBSTITUTE(I134,"PR:","")</f>
        <v>Games SP:David20171012 $0</v>
      </c>
      <c r="M134" s="14" t="str">
        <f aca="false">SUBSTITUTE(L134,"SP:","")</f>
        <v>Games David20171012 $0</v>
      </c>
      <c r="N134" s="15" t="str">
        <f aca="false">SUBSTITUTE(M134,"201710"," 201710")</f>
        <v>Games David 20171012 $0</v>
      </c>
      <c r="O134" s="21" t="n">
        <f aca="false">FIND(" ",N134)</f>
        <v>6</v>
      </c>
      <c r="P134" s="21" t="n">
        <f aca="false">FIND(" ",N134,O134+1)</f>
        <v>12</v>
      </c>
      <c r="Q134" s="21" t="n">
        <f aca="false">FIND(" ",N134,P134+1)</f>
        <v>21</v>
      </c>
      <c r="R134" s="26" t="str">
        <f aca="false">LEFT(N134,O134-1)</f>
        <v>Games</v>
      </c>
      <c r="S134" s="26" t="str">
        <f aca="false">MID(N134,O134+1,P134-O134-1)</f>
        <v>David</v>
      </c>
      <c r="T134" s="26" t="str">
        <f aca="false">MID(N134,P134+1,Q134-P134-1)</f>
        <v>20171012</v>
      </c>
      <c r="U134" s="26" t="n">
        <f aca="false">VALUE(MID(N134,Q134+2,90))</f>
        <v>0</v>
      </c>
      <c r="V134" s="27" t="n">
        <f aca="false">DATE(2017,10,MID(T134,7,2))</f>
        <v>43020</v>
      </c>
    </row>
    <row r="135" customFormat="false" ht="14.25" hidden="false" customHeight="false" outlineLevel="0" collapsed="false">
      <c r="A135" s="23" t="n">
        <f aca="false">A134+1</f>
        <v>131</v>
      </c>
      <c r="B135" s="14" t="s">
        <v>149</v>
      </c>
      <c r="C135" s="21" t="n">
        <f aca="false">CODE(RIGHT(B135,1))</f>
        <v>29</v>
      </c>
      <c r="D135" s="14" t="str">
        <f aca="false">CLEAN(B135)</f>
        <v>///PR:Books____SP:Carol2017109  $970     </v>
      </c>
      <c r="E135" s="21" t="n">
        <f aca="false">CODE(RIGHT(D135,1))</f>
        <v>32</v>
      </c>
      <c r="F135" s="14" t="str">
        <f aca="false">SUBSTITUTE(D135,_xlfn.UNICHAR(160)," ")</f>
        <v>///PR:Books____SP:Carol2017109  $970     </v>
      </c>
      <c r="G135" s="14" t="str">
        <f aca="false">SUBSTITUTE(F135,"/","")</f>
        <v>PR:Books____SP:Carol2017109  $970     </v>
      </c>
      <c r="H135" s="14" t="str">
        <f aca="false">SUBSTITUTE(G135,"_"," ")</f>
        <v>PR:Books    SP:Carol2017109  $970     </v>
      </c>
      <c r="I135" s="14" t="str">
        <f aca="false">TRIM(H135)</f>
        <v>PR:Books SP:Carol2017109 $970</v>
      </c>
      <c r="J135" s="21" t="n">
        <f aca="false">LEN(I135)</f>
        <v>29</v>
      </c>
      <c r="K135" s="21" t="n">
        <f aca="false">CODE(RIGHT(I135,1))</f>
        <v>48</v>
      </c>
      <c r="L135" s="14" t="str">
        <f aca="false">SUBSTITUTE(I135,"PR:","")</f>
        <v>Books SP:Carol2017109 $970</v>
      </c>
      <c r="M135" s="14" t="str">
        <f aca="false">SUBSTITUTE(L135,"SP:","")</f>
        <v>Books Carol2017109 $970</v>
      </c>
      <c r="N135" s="15" t="str">
        <f aca="false">SUBSTITUTE(M135,"201710"," 201710")</f>
        <v>Books Carol 2017109 $970</v>
      </c>
      <c r="O135" s="21" t="n">
        <f aca="false">FIND(" ",N135)</f>
        <v>6</v>
      </c>
      <c r="P135" s="21" t="n">
        <f aca="false">FIND(" ",N135,O135+1)</f>
        <v>12</v>
      </c>
      <c r="Q135" s="21" t="n">
        <f aca="false">FIND(" ",N135,P135+1)</f>
        <v>20</v>
      </c>
      <c r="R135" s="26" t="str">
        <f aca="false">LEFT(N135,O135-1)</f>
        <v>Books</v>
      </c>
      <c r="S135" s="26" t="str">
        <f aca="false">MID(N135,O135+1,P135-O135-1)</f>
        <v>Carol</v>
      </c>
      <c r="T135" s="26" t="str">
        <f aca="false">MID(N135,P135+1,Q135-P135-1)</f>
        <v>2017109</v>
      </c>
      <c r="U135" s="26" t="n">
        <f aca="false">VALUE(MID(N135,Q135+2,90))</f>
        <v>970</v>
      </c>
      <c r="V135" s="27" t="n">
        <f aca="false">DATE(2017,10,MID(T135,7,2))</f>
        <v>43017</v>
      </c>
    </row>
    <row r="136" customFormat="false" ht="14.25" hidden="false" customHeight="false" outlineLevel="0" collapsed="false">
      <c r="A136" s="23" t="n">
        <f aca="false">A135+1</f>
        <v>132</v>
      </c>
      <c r="B136" s="14" t="s">
        <v>150</v>
      </c>
      <c r="C136" s="21" t="n">
        <f aca="false">CODE(RIGHT(B136,1))</f>
        <v>31</v>
      </c>
      <c r="D136" s="14" t="str">
        <f aca="false">CLEAN(B136)</f>
        <v>//PR:Games_____SP:David2017103    $944  </v>
      </c>
      <c r="E136" s="21" t="n">
        <f aca="false">CODE(RIGHT(D136,1))</f>
        <v>32</v>
      </c>
      <c r="F136" s="14" t="str">
        <f aca="false">SUBSTITUTE(D136,_xlfn.UNICHAR(160)," ")</f>
        <v>//PR:Games_____SP:David2017103    $944  </v>
      </c>
      <c r="G136" s="14" t="str">
        <f aca="false">SUBSTITUTE(F136,"/","")</f>
        <v>PR:Games_____SP:David2017103    $944  </v>
      </c>
      <c r="H136" s="14" t="str">
        <f aca="false">SUBSTITUTE(G136,"_"," ")</f>
        <v>PR:Games     SP:David2017103    $944  </v>
      </c>
      <c r="I136" s="14" t="str">
        <f aca="false">TRIM(H136)</f>
        <v>PR:Games SP:David2017103 $944</v>
      </c>
      <c r="J136" s="21" t="n">
        <f aca="false">LEN(I136)</f>
        <v>29</v>
      </c>
      <c r="K136" s="21" t="n">
        <f aca="false">CODE(RIGHT(I136,1))</f>
        <v>52</v>
      </c>
      <c r="L136" s="14" t="str">
        <f aca="false">SUBSTITUTE(I136,"PR:","")</f>
        <v>Games SP:David2017103 $944</v>
      </c>
      <c r="M136" s="14" t="str">
        <f aca="false">SUBSTITUTE(L136,"SP:","")</f>
        <v>Games David2017103 $944</v>
      </c>
      <c r="N136" s="15" t="str">
        <f aca="false">SUBSTITUTE(M136,"201710"," 201710")</f>
        <v>Games David 2017103 $944</v>
      </c>
      <c r="O136" s="21" t="n">
        <f aca="false">FIND(" ",N136)</f>
        <v>6</v>
      </c>
      <c r="P136" s="21" t="n">
        <f aca="false">FIND(" ",N136,O136+1)</f>
        <v>12</v>
      </c>
      <c r="Q136" s="21" t="n">
        <f aca="false">FIND(" ",N136,P136+1)</f>
        <v>20</v>
      </c>
      <c r="R136" s="26" t="str">
        <f aca="false">LEFT(N136,O136-1)</f>
        <v>Games</v>
      </c>
      <c r="S136" s="26" t="str">
        <f aca="false">MID(N136,O136+1,P136-O136-1)</f>
        <v>David</v>
      </c>
      <c r="T136" s="26" t="str">
        <f aca="false">MID(N136,P136+1,Q136-P136-1)</f>
        <v>2017103</v>
      </c>
      <c r="U136" s="26" t="n">
        <f aca="false">VALUE(MID(N136,Q136+2,90))</f>
        <v>944</v>
      </c>
      <c r="V136" s="27" t="n">
        <f aca="false">DATE(2017,10,MID(T136,7,2))</f>
        <v>43011</v>
      </c>
    </row>
    <row r="137" customFormat="false" ht="14.25" hidden="false" customHeight="false" outlineLevel="0" collapsed="false">
      <c r="A137" s="23" t="n">
        <f aca="false">A136+1</f>
        <v>133</v>
      </c>
      <c r="B137" s="14" t="s">
        <v>151</v>
      </c>
      <c r="C137" s="21" t="n">
        <f aca="false">CODE(RIGHT(B137,1))</f>
        <v>29</v>
      </c>
      <c r="D137" s="14" t="str">
        <f aca="false">CLEAN(B137)</f>
        <v>/PR:Music___SP:Barney20171026   $1404    </v>
      </c>
      <c r="E137" s="21" t="n">
        <f aca="false">CODE(RIGHT(D137,1))</f>
        <v>32</v>
      </c>
      <c r="F137" s="14" t="str">
        <f aca="false">SUBSTITUTE(D137,_xlfn.UNICHAR(160)," ")</f>
        <v>/PR:Music___SP:Barney20171026   $1404    </v>
      </c>
      <c r="G137" s="14" t="str">
        <f aca="false">SUBSTITUTE(F137,"/","")</f>
        <v>PR:Music___SP:Barney20171026   $1404    </v>
      </c>
      <c r="H137" s="14" t="str">
        <f aca="false">SUBSTITUTE(G137,"_"," ")</f>
        <v>PR:Music   SP:Barney20171026   $1404    </v>
      </c>
      <c r="I137" s="14" t="str">
        <f aca="false">TRIM(H137)</f>
        <v>PR:Music SP:Barney20171026 $1404</v>
      </c>
      <c r="J137" s="21" t="n">
        <f aca="false">LEN(I137)</f>
        <v>32</v>
      </c>
      <c r="K137" s="21" t="n">
        <f aca="false">CODE(RIGHT(I137,1))</f>
        <v>52</v>
      </c>
      <c r="L137" s="14" t="str">
        <f aca="false">SUBSTITUTE(I137,"PR:","")</f>
        <v>Music SP:Barney20171026 $1404</v>
      </c>
      <c r="M137" s="14" t="str">
        <f aca="false">SUBSTITUTE(L137,"SP:","")</f>
        <v>Music Barney20171026 $1404</v>
      </c>
      <c r="N137" s="15" t="str">
        <f aca="false">SUBSTITUTE(M137,"201710"," 201710")</f>
        <v>Music Barney 20171026 $1404</v>
      </c>
      <c r="O137" s="21" t="n">
        <f aca="false">FIND(" ",N137)</f>
        <v>6</v>
      </c>
      <c r="P137" s="21" t="n">
        <f aca="false">FIND(" ",N137,O137+1)</f>
        <v>13</v>
      </c>
      <c r="Q137" s="21" t="n">
        <f aca="false">FIND(" ",N137,P137+1)</f>
        <v>22</v>
      </c>
      <c r="R137" s="26" t="str">
        <f aca="false">LEFT(N137,O137-1)</f>
        <v>Music</v>
      </c>
      <c r="S137" s="26" t="str">
        <f aca="false">MID(N137,O137+1,P137-O137-1)</f>
        <v>Barney</v>
      </c>
      <c r="T137" s="26" t="str">
        <f aca="false">MID(N137,P137+1,Q137-P137-1)</f>
        <v>20171026</v>
      </c>
      <c r="U137" s="26" t="n">
        <f aca="false">VALUE(MID(N137,Q137+2,90))</f>
        <v>1404</v>
      </c>
      <c r="V137" s="27" t="n">
        <f aca="false">DATE(2017,10,MID(T137,7,2))</f>
        <v>43034</v>
      </c>
    </row>
    <row r="138" customFormat="false" ht="14.25" hidden="false" customHeight="false" outlineLevel="0" collapsed="false">
      <c r="A138" s="23" t="n">
        <f aca="false">A137+1</f>
        <v>134</v>
      </c>
      <c r="B138" s="14" t="s">
        <v>152</v>
      </c>
      <c r="C138" s="21" t="n">
        <f aca="false">CODE(RIGHT(B138,1))</f>
        <v>28</v>
      </c>
      <c r="D138" s="14" t="str">
        <f aca="false">CLEAN(B138)</f>
        <v>/////PR:Clothing_____SP:Alice20171030    $1305     </v>
      </c>
      <c r="E138" s="21" t="n">
        <f aca="false">CODE(RIGHT(D138,1))</f>
        <v>32</v>
      </c>
      <c r="F138" s="14" t="str">
        <f aca="false">SUBSTITUTE(D138,_xlfn.UNICHAR(160)," ")</f>
        <v>/////PR:Clothing_____SP:Alice20171030    $1305     </v>
      </c>
      <c r="G138" s="14" t="str">
        <f aca="false">SUBSTITUTE(F138,"/","")</f>
        <v>PR:Clothing_____SP:Alice20171030    $1305     </v>
      </c>
      <c r="H138" s="14" t="str">
        <f aca="false">SUBSTITUTE(G138,"_"," ")</f>
        <v>PR:Clothing     SP:Alice20171030    $1305     </v>
      </c>
      <c r="I138" s="14" t="str">
        <f aca="false">TRIM(H138)</f>
        <v>PR:Clothing SP:Alice20171030 $1305</v>
      </c>
      <c r="J138" s="21" t="n">
        <f aca="false">LEN(I138)</f>
        <v>34</v>
      </c>
      <c r="K138" s="21" t="n">
        <f aca="false">CODE(RIGHT(I138,1))</f>
        <v>53</v>
      </c>
      <c r="L138" s="14" t="str">
        <f aca="false">SUBSTITUTE(I138,"PR:","")</f>
        <v>Clothing SP:Alice20171030 $1305</v>
      </c>
      <c r="M138" s="14" t="str">
        <f aca="false">SUBSTITUTE(L138,"SP:","")</f>
        <v>Clothing Alice20171030 $1305</v>
      </c>
      <c r="N138" s="15" t="str">
        <f aca="false">SUBSTITUTE(M138,"201710"," 201710")</f>
        <v>Clothing Alice 20171030 $1305</v>
      </c>
      <c r="O138" s="21" t="n">
        <f aca="false">FIND(" ",N138)</f>
        <v>9</v>
      </c>
      <c r="P138" s="21" t="n">
        <f aca="false">FIND(" ",N138,O138+1)</f>
        <v>15</v>
      </c>
      <c r="Q138" s="21" t="n">
        <f aca="false">FIND(" ",N138,P138+1)</f>
        <v>24</v>
      </c>
      <c r="R138" s="26" t="str">
        <f aca="false">LEFT(N138,O138-1)</f>
        <v>Clothing</v>
      </c>
      <c r="S138" s="26" t="str">
        <f aca="false">MID(N138,O138+1,P138-O138-1)</f>
        <v>Alice</v>
      </c>
      <c r="T138" s="26" t="str">
        <f aca="false">MID(N138,P138+1,Q138-P138-1)</f>
        <v>20171030</v>
      </c>
      <c r="U138" s="26" t="n">
        <f aca="false">VALUE(MID(N138,Q138+2,90))</f>
        <v>1305</v>
      </c>
      <c r="V138" s="27" t="n">
        <f aca="false">DATE(2017,10,MID(T138,7,2))</f>
        <v>43038</v>
      </c>
    </row>
    <row r="139" customFormat="false" ht="14.25" hidden="false" customHeight="false" outlineLevel="0" collapsed="false">
      <c r="A139" s="23" t="n">
        <f aca="false">A138+1</f>
        <v>135</v>
      </c>
      <c r="B139" s="14" t="s">
        <v>153</v>
      </c>
      <c r="C139" s="21" t="n">
        <f aca="false">CODE(RIGHT(B139,1))</f>
        <v>29</v>
      </c>
      <c r="D139" s="14" t="str">
        <f aca="false">CLEAN(B139)</f>
        <v>///PR:Games_____SP:David20171020  $869   </v>
      </c>
      <c r="E139" s="21" t="n">
        <f aca="false">CODE(RIGHT(D139,1))</f>
        <v>32</v>
      </c>
      <c r="F139" s="14" t="str">
        <f aca="false">SUBSTITUTE(D139,_xlfn.UNICHAR(160)," ")</f>
        <v>///PR:Games_____SP:David20171020  $869   </v>
      </c>
      <c r="G139" s="14" t="str">
        <f aca="false">SUBSTITUTE(F139,"/","")</f>
        <v>PR:Games_____SP:David20171020  $869   </v>
      </c>
      <c r="H139" s="14" t="str">
        <f aca="false">SUBSTITUTE(G139,"_"," ")</f>
        <v>PR:Games     SP:David20171020  $869   </v>
      </c>
      <c r="I139" s="14" t="str">
        <f aca="false">TRIM(H139)</f>
        <v>PR:Games SP:David20171020 $869</v>
      </c>
      <c r="J139" s="21" t="n">
        <f aca="false">LEN(I139)</f>
        <v>30</v>
      </c>
      <c r="K139" s="21" t="n">
        <f aca="false">CODE(RIGHT(I139,1))</f>
        <v>57</v>
      </c>
      <c r="L139" s="14" t="str">
        <f aca="false">SUBSTITUTE(I139,"PR:","")</f>
        <v>Games SP:David20171020 $869</v>
      </c>
      <c r="M139" s="14" t="str">
        <f aca="false">SUBSTITUTE(L139,"SP:","")</f>
        <v>Games David20171020 $869</v>
      </c>
      <c r="N139" s="15" t="str">
        <f aca="false">SUBSTITUTE(M139,"201710"," 201710")</f>
        <v>Games David 20171020 $869</v>
      </c>
      <c r="O139" s="21" t="n">
        <f aca="false">FIND(" ",N139)</f>
        <v>6</v>
      </c>
      <c r="P139" s="21" t="n">
        <f aca="false">FIND(" ",N139,O139+1)</f>
        <v>12</v>
      </c>
      <c r="Q139" s="21" t="n">
        <f aca="false">FIND(" ",N139,P139+1)</f>
        <v>21</v>
      </c>
      <c r="R139" s="26" t="str">
        <f aca="false">LEFT(N139,O139-1)</f>
        <v>Games</v>
      </c>
      <c r="S139" s="26" t="str">
        <f aca="false">MID(N139,O139+1,P139-O139-1)</f>
        <v>David</v>
      </c>
      <c r="T139" s="26" t="str">
        <f aca="false">MID(N139,P139+1,Q139-P139-1)</f>
        <v>20171020</v>
      </c>
      <c r="U139" s="26" t="n">
        <f aca="false">VALUE(MID(N139,Q139+2,90))</f>
        <v>869</v>
      </c>
      <c r="V139" s="27" t="n">
        <f aca="false">DATE(2017,10,MID(T139,7,2))</f>
        <v>43028</v>
      </c>
    </row>
    <row r="140" customFormat="false" ht="14.25" hidden="false" customHeight="false" outlineLevel="0" collapsed="false">
      <c r="A140" s="23" t="n">
        <f aca="false">A139+1</f>
        <v>136</v>
      </c>
      <c r="B140" s="14" t="s">
        <v>154</v>
      </c>
      <c r="C140" s="21" t="n">
        <f aca="false">CODE(RIGHT(B140,1))</f>
        <v>29</v>
      </c>
      <c r="D140" s="14" t="str">
        <f aca="false">CLEAN(B140)</f>
        <v>/////PR:Clothing__SP:Carol2017102     $0   </v>
      </c>
      <c r="E140" s="21" t="n">
        <f aca="false">CODE(RIGHT(D140,1))</f>
        <v>32</v>
      </c>
      <c r="F140" s="14" t="str">
        <f aca="false">SUBSTITUTE(D140,_xlfn.UNICHAR(160)," ")</f>
        <v>/////PR:Clothing__SP:Carol2017102     $0   </v>
      </c>
      <c r="G140" s="14" t="str">
        <f aca="false">SUBSTITUTE(F140,"/","")</f>
        <v>PR:Clothing__SP:Carol2017102     $0   </v>
      </c>
      <c r="H140" s="14" t="str">
        <f aca="false">SUBSTITUTE(G140,"_"," ")</f>
        <v>PR:Clothing  SP:Carol2017102     $0   </v>
      </c>
      <c r="I140" s="14" t="str">
        <f aca="false">TRIM(H140)</f>
        <v>PR:Clothing SP:Carol2017102 $0</v>
      </c>
      <c r="J140" s="21" t="n">
        <f aca="false">LEN(I140)</f>
        <v>30</v>
      </c>
      <c r="K140" s="21" t="n">
        <f aca="false">CODE(RIGHT(I140,1))</f>
        <v>48</v>
      </c>
      <c r="L140" s="14" t="str">
        <f aca="false">SUBSTITUTE(I140,"PR:","")</f>
        <v>Clothing SP:Carol2017102 $0</v>
      </c>
      <c r="M140" s="14" t="str">
        <f aca="false">SUBSTITUTE(L140,"SP:","")</f>
        <v>Clothing Carol2017102 $0</v>
      </c>
      <c r="N140" s="15" t="str">
        <f aca="false">SUBSTITUTE(M140,"201710"," 201710")</f>
        <v>Clothing Carol 2017102 $0</v>
      </c>
      <c r="O140" s="21" t="n">
        <f aca="false">FIND(" ",N140)</f>
        <v>9</v>
      </c>
      <c r="P140" s="21" t="n">
        <f aca="false">FIND(" ",N140,O140+1)</f>
        <v>15</v>
      </c>
      <c r="Q140" s="21" t="n">
        <f aca="false">FIND(" ",N140,P140+1)</f>
        <v>23</v>
      </c>
      <c r="R140" s="26" t="str">
        <f aca="false">LEFT(N140,O140-1)</f>
        <v>Clothing</v>
      </c>
      <c r="S140" s="26" t="str">
        <f aca="false">MID(N140,O140+1,P140-O140-1)</f>
        <v>Carol</v>
      </c>
      <c r="T140" s="26" t="str">
        <f aca="false">MID(N140,P140+1,Q140-P140-1)</f>
        <v>2017102</v>
      </c>
      <c r="U140" s="26" t="n">
        <f aca="false">VALUE(MID(N140,Q140+2,90))</f>
        <v>0</v>
      </c>
      <c r="V140" s="27" t="n">
        <f aca="false">DATE(2017,10,MID(T140,7,2))</f>
        <v>43010</v>
      </c>
    </row>
    <row r="141" customFormat="false" ht="14.25" hidden="false" customHeight="false" outlineLevel="0" collapsed="false">
      <c r="A141" s="23" t="n">
        <f aca="false">A140+1</f>
        <v>137</v>
      </c>
      <c r="B141" s="14" t="s">
        <v>155</v>
      </c>
      <c r="C141" s="21" t="n">
        <f aca="false">CODE(RIGHT(B141,1))</f>
        <v>30</v>
      </c>
      <c r="D141" s="14" t="str">
        <f aca="false">CLEAN(B141)</f>
        <v>///PR:Games_SP:Barney20171025 $0   </v>
      </c>
      <c r="E141" s="21" t="n">
        <f aca="false">CODE(RIGHT(D141,1))</f>
        <v>32</v>
      </c>
      <c r="F141" s="14" t="str">
        <f aca="false">SUBSTITUTE(D141,_xlfn.UNICHAR(160)," ")</f>
        <v>///PR:Games_SP:Barney20171025 $0   </v>
      </c>
      <c r="G141" s="14" t="str">
        <f aca="false">SUBSTITUTE(F141,"/","")</f>
        <v>PR:Games_SP:Barney20171025 $0   </v>
      </c>
      <c r="H141" s="14" t="str">
        <f aca="false">SUBSTITUTE(G141,"_"," ")</f>
        <v>PR:Games SP:Barney20171025 $0   </v>
      </c>
      <c r="I141" s="14" t="str">
        <f aca="false">TRIM(H141)</f>
        <v>PR:Games SP:Barney20171025 $0</v>
      </c>
      <c r="J141" s="21" t="n">
        <f aca="false">LEN(I141)</f>
        <v>29</v>
      </c>
      <c r="K141" s="21" t="n">
        <f aca="false">CODE(RIGHT(I141,1))</f>
        <v>48</v>
      </c>
      <c r="L141" s="14" t="str">
        <f aca="false">SUBSTITUTE(I141,"PR:","")</f>
        <v>Games SP:Barney20171025 $0</v>
      </c>
      <c r="M141" s="14" t="str">
        <f aca="false">SUBSTITUTE(L141,"SP:","")</f>
        <v>Games Barney20171025 $0</v>
      </c>
      <c r="N141" s="15" t="str">
        <f aca="false">SUBSTITUTE(M141,"201710"," 201710")</f>
        <v>Games Barney 20171025 $0</v>
      </c>
      <c r="O141" s="21" t="n">
        <f aca="false">FIND(" ",N141)</f>
        <v>6</v>
      </c>
      <c r="P141" s="21" t="n">
        <f aca="false">FIND(" ",N141,O141+1)</f>
        <v>13</v>
      </c>
      <c r="Q141" s="21" t="n">
        <f aca="false">FIND(" ",N141,P141+1)</f>
        <v>22</v>
      </c>
      <c r="R141" s="26" t="str">
        <f aca="false">LEFT(N141,O141-1)</f>
        <v>Games</v>
      </c>
      <c r="S141" s="26" t="str">
        <f aca="false">MID(N141,O141+1,P141-O141-1)</f>
        <v>Barney</v>
      </c>
      <c r="T141" s="26" t="str">
        <f aca="false">MID(N141,P141+1,Q141-P141-1)</f>
        <v>20171025</v>
      </c>
      <c r="U141" s="26" t="n">
        <f aca="false">VALUE(MID(N141,Q141+2,90))</f>
        <v>0</v>
      </c>
      <c r="V141" s="27" t="n">
        <f aca="false">DATE(2017,10,MID(T141,7,2))</f>
        <v>43033</v>
      </c>
    </row>
    <row r="142" customFormat="false" ht="14.25" hidden="false" customHeight="false" outlineLevel="0" collapsed="false">
      <c r="A142" s="23" t="n">
        <f aca="false">A141+1</f>
        <v>138</v>
      </c>
      <c r="B142" s="14" t="s">
        <v>156</v>
      </c>
      <c r="C142" s="21" t="n">
        <f aca="false">CODE(RIGHT(B142,1))</f>
        <v>28</v>
      </c>
      <c r="D142" s="14" t="str">
        <f aca="false">CLEAN(B142)</f>
        <v>////PR:Books___SP:Carol20171014   $0  </v>
      </c>
      <c r="E142" s="21" t="n">
        <f aca="false">CODE(RIGHT(D142,1))</f>
        <v>32</v>
      </c>
      <c r="F142" s="14" t="str">
        <f aca="false">SUBSTITUTE(D142,_xlfn.UNICHAR(160)," ")</f>
        <v>////PR:Books___SP:Carol20171014   $0  </v>
      </c>
      <c r="G142" s="14" t="str">
        <f aca="false">SUBSTITUTE(F142,"/","")</f>
        <v>PR:Books___SP:Carol20171014   $0  </v>
      </c>
      <c r="H142" s="14" t="str">
        <f aca="false">SUBSTITUTE(G142,"_"," ")</f>
        <v>PR:Books   SP:Carol20171014   $0  </v>
      </c>
      <c r="I142" s="14" t="str">
        <f aca="false">TRIM(H142)</f>
        <v>PR:Books SP:Carol20171014 $0</v>
      </c>
      <c r="J142" s="21" t="n">
        <f aca="false">LEN(I142)</f>
        <v>28</v>
      </c>
      <c r="K142" s="21" t="n">
        <f aca="false">CODE(RIGHT(I142,1))</f>
        <v>48</v>
      </c>
      <c r="L142" s="14" t="str">
        <f aca="false">SUBSTITUTE(I142,"PR:","")</f>
        <v>Books SP:Carol20171014 $0</v>
      </c>
      <c r="M142" s="14" t="str">
        <f aca="false">SUBSTITUTE(L142,"SP:","")</f>
        <v>Books Carol20171014 $0</v>
      </c>
      <c r="N142" s="15" t="str">
        <f aca="false">SUBSTITUTE(M142,"201710"," 201710")</f>
        <v>Books Carol 20171014 $0</v>
      </c>
      <c r="O142" s="21" t="n">
        <f aca="false">FIND(" ",N142)</f>
        <v>6</v>
      </c>
      <c r="P142" s="21" t="n">
        <f aca="false">FIND(" ",N142,O142+1)</f>
        <v>12</v>
      </c>
      <c r="Q142" s="21" t="n">
        <f aca="false">FIND(" ",N142,P142+1)</f>
        <v>21</v>
      </c>
      <c r="R142" s="26" t="str">
        <f aca="false">LEFT(N142,O142-1)</f>
        <v>Books</v>
      </c>
      <c r="S142" s="26" t="str">
        <f aca="false">MID(N142,O142+1,P142-O142-1)</f>
        <v>Carol</v>
      </c>
      <c r="T142" s="26" t="str">
        <f aca="false">MID(N142,P142+1,Q142-P142-1)</f>
        <v>20171014</v>
      </c>
      <c r="U142" s="26" t="n">
        <f aca="false">VALUE(MID(N142,Q142+2,90))</f>
        <v>0</v>
      </c>
      <c r="V142" s="27" t="n">
        <f aca="false">DATE(2017,10,MID(T142,7,2))</f>
        <v>43022</v>
      </c>
    </row>
    <row r="143" customFormat="false" ht="14.25" hidden="false" customHeight="false" outlineLevel="0" collapsed="false">
      <c r="A143" s="23" t="n">
        <f aca="false">A142+1</f>
        <v>139</v>
      </c>
      <c r="B143" s="14" t="s">
        <v>157</v>
      </c>
      <c r="C143" s="21" t="n">
        <f aca="false">CODE(RIGHT(B143,1))</f>
        <v>29</v>
      </c>
      <c r="D143" s="14" t="str">
        <f aca="false">CLEAN(B143)</f>
        <v>////PR:Music___SP:Alice2017104    $1461     </v>
      </c>
      <c r="E143" s="21" t="n">
        <f aca="false">CODE(RIGHT(D143,1))</f>
        <v>32</v>
      </c>
      <c r="F143" s="14" t="str">
        <f aca="false">SUBSTITUTE(D143,_xlfn.UNICHAR(160)," ")</f>
        <v>////PR:Music___SP:Alice2017104    $1461     </v>
      </c>
      <c r="G143" s="14" t="str">
        <f aca="false">SUBSTITUTE(F143,"/","")</f>
        <v>PR:Music___SP:Alice2017104    $1461     </v>
      </c>
      <c r="H143" s="14" t="str">
        <f aca="false">SUBSTITUTE(G143,"_"," ")</f>
        <v>PR:Music   SP:Alice2017104    $1461     </v>
      </c>
      <c r="I143" s="14" t="str">
        <f aca="false">TRIM(H143)</f>
        <v>PR:Music SP:Alice2017104 $1461</v>
      </c>
      <c r="J143" s="21" t="n">
        <f aca="false">LEN(I143)</f>
        <v>30</v>
      </c>
      <c r="K143" s="21" t="n">
        <f aca="false">CODE(RIGHT(I143,1))</f>
        <v>49</v>
      </c>
      <c r="L143" s="14" t="str">
        <f aca="false">SUBSTITUTE(I143,"PR:","")</f>
        <v>Music SP:Alice2017104 $1461</v>
      </c>
      <c r="M143" s="14" t="str">
        <f aca="false">SUBSTITUTE(L143,"SP:","")</f>
        <v>Music Alice2017104 $1461</v>
      </c>
      <c r="N143" s="15" t="str">
        <f aca="false">SUBSTITUTE(M143,"201710"," 201710")</f>
        <v>Music Alice 2017104 $1461</v>
      </c>
      <c r="O143" s="21" t="n">
        <f aca="false">FIND(" ",N143)</f>
        <v>6</v>
      </c>
      <c r="P143" s="21" t="n">
        <f aca="false">FIND(" ",N143,O143+1)</f>
        <v>12</v>
      </c>
      <c r="Q143" s="21" t="n">
        <f aca="false">FIND(" ",N143,P143+1)</f>
        <v>20</v>
      </c>
      <c r="R143" s="26" t="str">
        <f aca="false">LEFT(N143,O143-1)</f>
        <v>Music</v>
      </c>
      <c r="S143" s="26" t="str">
        <f aca="false">MID(N143,O143+1,P143-O143-1)</f>
        <v>Alice</v>
      </c>
      <c r="T143" s="26" t="str">
        <f aca="false">MID(N143,P143+1,Q143-P143-1)</f>
        <v>2017104</v>
      </c>
      <c r="U143" s="26" t="n">
        <f aca="false">VALUE(MID(N143,Q143+2,90))</f>
        <v>1461</v>
      </c>
      <c r="V143" s="27" t="n">
        <f aca="false">DATE(2017,10,MID(T143,7,2))</f>
        <v>43012</v>
      </c>
    </row>
    <row r="144" customFormat="false" ht="14.25" hidden="false" customHeight="false" outlineLevel="0" collapsed="false">
      <c r="A144" s="23" t="n">
        <f aca="false">A143+1</f>
        <v>140</v>
      </c>
      <c r="B144" s="14" t="s">
        <v>158</v>
      </c>
      <c r="C144" s="21" t="n">
        <f aca="false">CODE(RIGHT(B144,1))</f>
        <v>30</v>
      </c>
      <c r="D144" s="14" t="str">
        <f aca="false">CLEAN(B144)</f>
        <v>//PR:Books____SP:Barney20171011    $999     </v>
      </c>
      <c r="E144" s="21" t="n">
        <f aca="false">CODE(RIGHT(D144,1))</f>
        <v>32</v>
      </c>
      <c r="F144" s="14" t="str">
        <f aca="false">SUBSTITUTE(D144,_xlfn.UNICHAR(160)," ")</f>
        <v>//PR:Books____SP:Barney20171011    $999     </v>
      </c>
      <c r="G144" s="14" t="str">
        <f aca="false">SUBSTITUTE(F144,"/","")</f>
        <v>PR:Books____SP:Barney20171011    $999     </v>
      </c>
      <c r="H144" s="14" t="str">
        <f aca="false">SUBSTITUTE(G144,"_"," ")</f>
        <v>PR:Books    SP:Barney20171011    $999     </v>
      </c>
      <c r="I144" s="14" t="str">
        <f aca="false">TRIM(H144)</f>
        <v>PR:Books SP:Barney20171011 $999</v>
      </c>
      <c r="J144" s="21" t="n">
        <f aca="false">LEN(I144)</f>
        <v>31</v>
      </c>
      <c r="K144" s="21" t="n">
        <f aca="false">CODE(RIGHT(I144,1))</f>
        <v>57</v>
      </c>
      <c r="L144" s="14" t="str">
        <f aca="false">SUBSTITUTE(I144,"PR:","")</f>
        <v>Books SP:Barney20171011 $999</v>
      </c>
      <c r="M144" s="14" t="str">
        <f aca="false">SUBSTITUTE(L144,"SP:","")</f>
        <v>Books Barney20171011 $999</v>
      </c>
      <c r="N144" s="15" t="str">
        <f aca="false">SUBSTITUTE(M144,"201710"," 201710")</f>
        <v>Books Barney 20171011 $999</v>
      </c>
      <c r="O144" s="21" t="n">
        <f aca="false">FIND(" ",N144)</f>
        <v>6</v>
      </c>
      <c r="P144" s="21" t="n">
        <f aca="false">FIND(" ",N144,O144+1)</f>
        <v>13</v>
      </c>
      <c r="Q144" s="21" t="n">
        <f aca="false">FIND(" ",N144,P144+1)</f>
        <v>22</v>
      </c>
      <c r="R144" s="26" t="str">
        <f aca="false">LEFT(N144,O144-1)</f>
        <v>Books</v>
      </c>
      <c r="S144" s="26" t="str">
        <f aca="false">MID(N144,O144+1,P144-O144-1)</f>
        <v>Barney</v>
      </c>
      <c r="T144" s="26" t="str">
        <f aca="false">MID(N144,P144+1,Q144-P144-1)</f>
        <v>20171011</v>
      </c>
      <c r="U144" s="26" t="n">
        <f aca="false">VALUE(MID(N144,Q144+2,90))</f>
        <v>999</v>
      </c>
      <c r="V144" s="27" t="n">
        <f aca="false">DATE(2017,10,MID(T144,7,2))</f>
        <v>43019</v>
      </c>
    </row>
    <row r="145" customFormat="false" ht="14.25" hidden="false" customHeight="false" outlineLevel="0" collapsed="false">
      <c r="A145" s="23" t="n">
        <f aca="false">A144+1</f>
        <v>141</v>
      </c>
      <c r="B145" s="14" t="s">
        <v>159</v>
      </c>
      <c r="C145" s="21" t="n">
        <f aca="false">CODE(RIGHT(B145,1))</f>
        <v>30</v>
      </c>
      <c r="D145" s="14" t="str">
        <f aca="false">CLEAN(B145)</f>
        <v>/////PR:Books__SP:Barney20171022     $510    </v>
      </c>
      <c r="E145" s="21" t="n">
        <f aca="false">CODE(RIGHT(D145,1))</f>
        <v>32</v>
      </c>
      <c r="F145" s="14" t="str">
        <f aca="false">SUBSTITUTE(D145,_xlfn.UNICHAR(160)," ")</f>
        <v>/////PR:Books__SP:Barney20171022     $510    </v>
      </c>
      <c r="G145" s="14" t="str">
        <f aca="false">SUBSTITUTE(F145,"/","")</f>
        <v>PR:Books__SP:Barney20171022     $510    </v>
      </c>
      <c r="H145" s="14" t="str">
        <f aca="false">SUBSTITUTE(G145,"_"," ")</f>
        <v>PR:Books  SP:Barney20171022     $510    </v>
      </c>
      <c r="I145" s="14" t="str">
        <f aca="false">TRIM(H145)</f>
        <v>PR:Books SP:Barney20171022 $510</v>
      </c>
      <c r="J145" s="21" t="n">
        <f aca="false">LEN(I145)</f>
        <v>31</v>
      </c>
      <c r="K145" s="21" t="n">
        <f aca="false">CODE(RIGHT(I145,1))</f>
        <v>48</v>
      </c>
      <c r="L145" s="14" t="str">
        <f aca="false">SUBSTITUTE(I145,"PR:","")</f>
        <v>Books SP:Barney20171022 $510</v>
      </c>
      <c r="M145" s="14" t="str">
        <f aca="false">SUBSTITUTE(L145,"SP:","")</f>
        <v>Books Barney20171022 $510</v>
      </c>
      <c r="N145" s="15" t="str">
        <f aca="false">SUBSTITUTE(M145,"201710"," 201710")</f>
        <v>Books Barney 20171022 $510</v>
      </c>
      <c r="O145" s="21" t="n">
        <f aca="false">FIND(" ",N145)</f>
        <v>6</v>
      </c>
      <c r="P145" s="21" t="n">
        <f aca="false">FIND(" ",N145,O145+1)</f>
        <v>13</v>
      </c>
      <c r="Q145" s="21" t="n">
        <f aca="false">FIND(" ",N145,P145+1)</f>
        <v>22</v>
      </c>
      <c r="R145" s="26" t="str">
        <f aca="false">LEFT(N145,O145-1)</f>
        <v>Books</v>
      </c>
      <c r="S145" s="26" t="str">
        <f aca="false">MID(N145,O145+1,P145-O145-1)</f>
        <v>Barney</v>
      </c>
      <c r="T145" s="26" t="str">
        <f aca="false">MID(N145,P145+1,Q145-P145-1)</f>
        <v>20171022</v>
      </c>
      <c r="U145" s="26" t="n">
        <f aca="false">VALUE(MID(N145,Q145+2,90))</f>
        <v>510</v>
      </c>
      <c r="V145" s="27" t="n">
        <f aca="false">DATE(2017,10,MID(T145,7,2))</f>
        <v>43030</v>
      </c>
    </row>
    <row r="146" customFormat="false" ht="14.25" hidden="false" customHeight="false" outlineLevel="0" collapsed="false">
      <c r="A146" s="23" t="n">
        <f aca="false">A145+1</f>
        <v>142</v>
      </c>
      <c r="B146" s="14" t="s">
        <v>160</v>
      </c>
      <c r="C146" s="21" t="n">
        <f aca="false">CODE(RIGHT(B146,1))</f>
        <v>30</v>
      </c>
      <c r="D146" s="14" t="str">
        <f aca="false">CLEAN(B146)</f>
        <v>////PR:Music____SP:Alice20171013 $1103    </v>
      </c>
      <c r="E146" s="21" t="n">
        <f aca="false">CODE(RIGHT(D146,1))</f>
        <v>32</v>
      </c>
      <c r="F146" s="14" t="str">
        <f aca="false">SUBSTITUTE(D146,_xlfn.UNICHAR(160)," ")</f>
        <v>////PR:Music____SP:Alice20171013 $1103    </v>
      </c>
      <c r="G146" s="14" t="str">
        <f aca="false">SUBSTITUTE(F146,"/","")</f>
        <v>PR:Music____SP:Alice20171013 $1103    </v>
      </c>
      <c r="H146" s="14" t="str">
        <f aca="false">SUBSTITUTE(G146,"_"," ")</f>
        <v>PR:Music    SP:Alice20171013 $1103    </v>
      </c>
      <c r="I146" s="14" t="str">
        <f aca="false">TRIM(H146)</f>
        <v>PR:Music SP:Alice20171013 $1103</v>
      </c>
      <c r="J146" s="21" t="n">
        <f aca="false">LEN(I146)</f>
        <v>31</v>
      </c>
      <c r="K146" s="21" t="n">
        <f aca="false">CODE(RIGHT(I146,1))</f>
        <v>51</v>
      </c>
      <c r="L146" s="14" t="str">
        <f aca="false">SUBSTITUTE(I146,"PR:","")</f>
        <v>Music SP:Alice20171013 $1103</v>
      </c>
      <c r="M146" s="14" t="str">
        <f aca="false">SUBSTITUTE(L146,"SP:","")</f>
        <v>Music Alice20171013 $1103</v>
      </c>
      <c r="N146" s="15" t="str">
        <f aca="false">SUBSTITUTE(M146,"201710"," 201710")</f>
        <v>Music Alice 20171013 $1103</v>
      </c>
      <c r="O146" s="21" t="n">
        <f aca="false">FIND(" ",N146)</f>
        <v>6</v>
      </c>
      <c r="P146" s="21" t="n">
        <f aca="false">FIND(" ",N146,O146+1)</f>
        <v>12</v>
      </c>
      <c r="Q146" s="21" t="n">
        <f aca="false">FIND(" ",N146,P146+1)</f>
        <v>21</v>
      </c>
      <c r="R146" s="26" t="str">
        <f aca="false">LEFT(N146,O146-1)</f>
        <v>Music</v>
      </c>
      <c r="S146" s="26" t="str">
        <f aca="false">MID(N146,O146+1,P146-O146-1)</f>
        <v>Alice</v>
      </c>
      <c r="T146" s="26" t="str">
        <f aca="false">MID(N146,P146+1,Q146-P146-1)</f>
        <v>20171013</v>
      </c>
      <c r="U146" s="26" t="n">
        <f aca="false">VALUE(MID(N146,Q146+2,90))</f>
        <v>1103</v>
      </c>
      <c r="V146" s="27" t="n">
        <f aca="false">DATE(2017,10,MID(T146,7,2))</f>
        <v>43021</v>
      </c>
    </row>
    <row r="147" customFormat="false" ht="14.25" hidden="false" customHeight="false" outlineLevel="0" collapsed="false">
      <c r="A147" s="23" t="n">
        <f aca="false">A146+1</f>
        <v>143</v>
      </c>
      <c r="B147" s="14" t="s">
        <v>161</v>
      </c>
      <c r="C147" s="21" t="n">
        <f aca="false">CODE(RIGHT(B147,1))</f>
        <v>29</v>
      </c>
      <c r="D147" s="14" t="str">
        <f aca="false">CLEAN(B147)</f>
        <v>////PR:Music____SP:Carol20171016     $1412   </v>
      </c>
      <c r="E147" s="21" t="n">
        <f aca="false">CODE(RIGHT(D147,1))</f>
        <v>32</v>
      </c>
      <c r="F147" s="14" t="str">
        <f aca="false">SUBSTITUTE(D147,_xlfn.UNICHAR(160)," ")</f>
        <v>////PR:Music____SP:Carol20171016     $1412   </v>
      </c>
      <c r="G147" s="14" t="str">
        <f aca="false">SUBSTITUTE(F147,"/","")</f>
        <v>PR:Music____SP:Carol20171016     $1412   </v>
      </c>
      <c r="H147" s="14" t="str">
        <f aca="false">SUBSTITUTE(G147,"_"," ")</f>
        <v>PR:Music    SP:Carol20171016     $1412   </v>
      </c>
      <c r="I147" s="14" t="str">
        <f aca="false">TRIM(H147)</f>
        <v>PR:Music SP:Carol20171016 $1412</v>
      </c>
      <c r="J147" s="21" t="n">
        <f aca="false">LEN(I147)</f>
        <v>31</v>
      </c>
      <c r="K147" s="21" t="n">
        <f aca="false">CODE(RIGHT(I147,1))</f>
        <v>50</v>
      </c>
      <c r="L147" s="14" t="str">
        <f aca="false">SUBSTITUTE(I147,"PR:","")</f>
        <v>Music SP:Carol20171016 $1412</v>
      </c>
      <c r="M147" s="14" t="str">
        <f aca="false">SUBSTITUTE(L147,"SP:","")</f>
        <v>Music Carol20171016 $1412</v>
      </c>
      <c r="N147" s="15" t="str">
        <f aca="false">SUBSTITUTE(M147,"201710"," 201710")</f>
        <v>Music Carol 20171016 $1412</v>
      </c>
      <c r="O147" s="21" t="n">
        <f aca="false">FIND(" ",N147)</f>
        <v>6</v>
      </c>
      <c r="P147" s="21" t="n">
        <f aca="false">FIND(" ",N147,O147+1)</f>
        <v>12</v>
      </c>
      <c r="Q147" s="21" t="n">
        <f aca="false">FIND(" ",N147,P147+1)</f>
        <v>21</v>
      </c>
      <c r="R147" s="26" t="str">
        <f aca="false">LEFT(N147,O147-1)</f>
        <v>Music</v>
      </c>
      <c r="S147" s="26" t="str">
        <f aca="false">MID(N147,O147+1,P147-O147-1)</f>
        <v>Carol</v>
      </c>
      <c r="T147" s="26" t="str">
        <f aca="false">MID(N147,P147+1,Q147-P147-1)</f>
        <v>20171016</v>
      </c>
      <c r="U147" s="26" t="n">
        <f aca="false">VALUE(MID(N147,Q147+2,90))</f>
        <v>1412</v>
      </c>
      <c r="V147" s="27" t="n">
        <f aca="false">DATE(2017,10,MID(T147,7,2))</f>
        <v>43024</v>
      </c>
    </row>
    <row r="148" customFormat="false" ht="14.25" hidden="false" customHeight="false" outlineLevel="0" collapsed="false">
      <c r="A148" s="23" t="n">
        <f aca="false">A147+1</f>
        <v>144</v>
      </c>
      <c r="B148" s="14" t="s">
        <v>162</v>
      </c>
      <c r="C148" s="21" t="n">
        <f aca="false">CODE(RIGHT(B148,1))</f>
        <v>31</v>
      </c>
      <c r="D148" s="14" t="str">
        <f aca="false">CLEAN(B148)</f>
        <v>////PR:Books_SP:Barney20171016     $0 </v>
      </c>
      <c r="E148" s="21" t="n">
        <f aca="false">CODE(RIGHT(D148,1))</f>
        <v>32</v>
      </c>
      <c r="F148" s="14" t="str">
        <f aca="false">SUBSTITUTE(D148,_xlfn.UNICHAR(160)," ")</f>
        <v>////PR:Books_SP:Barney20171016     $0 </v>
      </c>
      <c r="G148" s="14" t="str">
        <f aca="false">SUBSTITUTE(F148,"/","")</f>
        <v>PR:Books_SP:Barney20171016     $0 </v>
      </c>
      <c r="H148" s="14" t="str">
        <f aca="false">SUBSTITUTE(G148,"_"," ")</f>
        <v>PR:Books SP:Barney20171016     $0 </v>
      </c>
      <c r="I148" s="14" t="str">
        <f aca="false">TRIM(H148)</f>
        <v>PR:Books SP:Barney20171016 $0</v>
      </c>
      <c r="J148" s="21" t="n">
        <f aca="false">LEN(I148)</f>
        <v>29</v>
      </c>
      <c r="K148" s="21" t="n">
        <f aca="false">CODE(RIGHT(I148,1))</f>
        <v>48</v>
      </c>
      <c r="L148" s="14" t="str">
        <f aca="false">SUBSTITUTE(I148,"PR:","")</f>
        <v>Books SP:Barney20171016 $0</v>
      </c>
      <c r="M148" s="14" t="str">
        <f aca="false">SUBSTITUTE(L148,"SP:","")</f>
        <v>Books Barney20171016 $0</v>
      </c>
      <c r="N148" s="15" t="str">
        <f aca="false">SUBSTITUTE(M148,"201710"," 201710")</f>
        <v>Books Barney 20171016 $0</v>
      </c>
      <c r="O148" s="21" t="n">
        <f aca="false">FIND(" ",N148)</f>
        <v>6</v>
      </c>
      <c r="P148" s="21" t="n">
        <f aca="false">FIND(" ",N148,O148+1)</f>
        <v>13</v>
      </c>
      <c r="Q148" s="21" t="n">
        <f aca="false">FIND(" ",N148,P148+1)</f>
        <v>22</v>
      </c>
      <c r="R148" s="26" t="str">
        <f aca="false">LEFT(N148,O148-1)</f>
        <v>Books</v>
      </c>
      <c r="S148" s="26" t="str">
        <f aca="false">MID(N148,O148+1,P148-O148-1)</f>
        <v>Barney</v>
      </c>
      <c r="T148" s="26" t="str">
        <f aca="false">MID(N148,P148+1,Q148-P148-1)</f>
        <v>20171016</v>
      </c>
      <c r="U148" s="26" t="n">
        <f aca="false">VALUE(MID(N148,Q148+2,90))</f>
        <v>0</v>
      </c>
      <c r="V148" s="27" t="n">
        <f aca="false">DATE(2017,10,MID(T148,7,2))</f>
        <v>43024</v>
      </c>
    </row>
    <row r="149" customFormat="false" ht="14.25" hidden="false" customHeight="false" outlineLevel="0" collapsed="false">
      <c r="A149" s="23" t="n">
        <f aca="false">A148+1</f>
        <v>145</v>
      </c>
      <c r="B149" s="14" t="s">
        <v>163</v>
      </c>
      <c r="C149" s="21" t="n">
        <f aca="false">CODE(RIGHT(B149,1))</f>
        <v>29</v>
      </c>
      <c r="D149" s="14" t="str">
        <f aca="false">CLEAN(B149)</f>
        <v>//PR:Books__SP:Alice2017108   $763 </v>
      </c>
      <c r="E149" s="21" t="n">
        <f aca="false">CODE(RIGHT(D149,1))</f>
        <v>32</v>
      </c>
      <c r="F149" s="14" t="str">
        <f aca="false">SUBSTITUTE(D149,_xlfn.UNICHAR(160)," ")</f>
        <v>//PR:Books__SP:Alice2017108   $763 </v>
      </c>
      <c r="G149" s="14" t="str">
        <f aca="false">SUBSTITUTE(F149,"/","")</f>
        <v>PR:Books__SP:Alice2017108   $763 </v>
      </c>
      <c r="H149" s="14" t="str">
        <f aca="false">SUBSTITUTE(G149,"_"," ")</f>
        <v>PR:Books  SP:Alice2017108   $763 </v>
      </c>
      <c r="I149" s="14" t="str">
        <f aca="false">TRIM(H149)</f>
        <v>PR:Books SP:Alice2017108 $763</v>
      </c>
      <c r="J149" s="21" t="n">
        <f aca="false">LEN(I149)</f>
        <v>29</v>
      </c>
      <c r="K149" s="21" t="n">
        <f aca="false">CODE(RIGHT(I149,1))</f>
        <v>51</v>
      </c>
      <c r="L149" s="14" t="str">
        <f aca="false">SUBSTITUTE(I149,"PR:","")</f>
        <v>Books SP:Alice2017108 $763</v>
      </c>
      <c r="M149" s="14" t="str">
        <f aca="false">SUBSTITUTE(L149,"SP:","")</f>
        <v>Books Alice2017108 $763</v>
      </c>
      <c r="N149" s="15" t="str">
        <f aca="false">SUBSTITUTE(M149,"201710"," 201710")</f>
        <v>Books Alice 2017108 $763</v>
      </c>
      <c r="O149" s="21" t="n">
        <f aca="false">FIND(" ",N149)</f>
        <v>6</v>
      </c>
      <c r="P149" s="21" t="n">
        <f aca="false">FIND(" ",N149,O149+1)</f>
        <v>12</v>
      </c>
      <c r="Q149" s="21" t="n">
        <f aca="false">FIND(" ",N149,P149+1)</f>
        <v>20</v>
      </c>
      <c r="R149" s="26" t="str">
        <f aca="false">LEFT(N149,O149-1)</f>
        <v>Books</v>
      </c>
      <c r="S149" s="26" t="str">
        <f aca="false">MID(N149,O149+1,P149-O149-1)</f>
        <v>Alice</v>
      </c>
      <c r="T149" s="26" t="str">
        <f aca="false">MID(N149,P149+1,Q149-P149-1)</f>
        <v>2017108</v>
      </c>
      <c r="U149" s="26" t="n">
        <f aca="false">VALUE(MID(N149,Q149+2,90))</f>
        <v>763</v>
      </c>
      <c r="V149" s="27" t="n">
        <f aca="false">DATE(2017,10,MID(T149,7,2))</f>
        <v>43016</v>
      </c>
    </row>
    <row r="150" customFormat="false" ht="14.25" hidden="false" customHeight="false" outlineLevel="0" collapsed="false">
      <c r="A150" s="23" t="n">
        <f aca="false">A149+1</f>
        <v>146</v>
      </c>
      <c r="B150" s="14" t="s">
        <v>164</v>
      </c>
      <c r="C150" s="21" t="n">
        <f aca="false">CODE(RIGHT(B150,1))</f>
        <v>31</v>
      </c>
      <c r="D150" s="14" t="str">
        <f aca="false">CLEAN(B150)</f>
        <v>///PR:Clothing___SP:Barney20171011     $1419  </v>
      </c>
      <c r="E150" s="21" t="n">
        <f aca="false">CODE(RIGHT(D150,1))</f>
        <v>32</v>
      </c>
      <c r="F150" s="14" t="str">
        <f aca="false">SUBSTITUTE(D150,_xlfn.UNICHAR(160)," ")</f>
        <v>///PR:Clothing___SP:Barney20171011     $1419  </v>
      </c>
      <c r="G150" s="14" t="str">
        <f aca="false">SUBSTITUTE(F150,"/","")</f>
        <v>PR:Clothing___SP:Barney20171011     $1419  </v>
      </c>
      <c r="H150" s="14" t="str">
        <f aca="false">SUBSTITUTE(G150,"_"," ")</f>
        <v>PR:Clothing   SP:Barney20171011     $1419  </v>
      </c>
      <c r="I150" s="14" t="str">
        <f aca="false">TRIM(H150)</f>
        <v>PR:Clothing SP:Barney20171011 $1419</v>
      </c>
      <c r="J150" s="21" t="n">
        <f aca="false">LEN(I150)</f>
        <v>35</v>
      </c>
      <c r="K150" s="21" t="n">
        <f aca="false">CODE(RIGHT(I150,1))</f>
        <v>57</v>
      </c>
      <c r="L150" s="14" t="str">
        <f aca="false">SUBSTITUTE(I150,"PR:","")</f>
        <v>Clothing SP:Barney20171011 $1419</v>
      </c>
      <c r="M150" s="14" t="str">
        <f aca="false">SUBSTITUTE(L150,"SP:","")</f>
        <v>Clothing Barney20171011 $1419</v>
      </c>
      <c r="N150" s="15" t="str">
        <f aca="false">SUBSTITUTE(M150,"201710"," 201710")</f>
        <v>Clothing Barney 20171011 $1419</v>
      </c>
      <c r="O150" s="21" t="n">
        <f aca="false">FIND(" ",N150)</f>
        <v>9</v>
      </c>
      <c r="P150" s="21" t="n">
        <f aca="false">FIND(" ",N150,O150+1)</f>
        <v>16</v>
      </c>
      <c r="Q150" s="21" t="n">
        <f aca="false">FIND(" ",N150,P150+1)</f>
        <v>25</v>
      </c>
      <c r="R150" s="26" t="str">
        <f aca="false">LEFT(N150,O150-1)</f>
        <v>Clothing</v>
      </c>
      <c r="S150" s="26" t="str">
        <f aca="false">MID(N150,O150+1,P150-O150-1)</f>
        <v>Barney</v>
      </c>
      <c r="T150" s="26" t="str">
        <f aca="false">MID(N150,P150+1,Q150-P150-1)</f>
        <v>20171011</v>
      </c>
      <c r="U150" s="26" t="n">
        <f aca="false">VALUE(MID(N150,Q150+2,90))</f>
        <v>1419</v>
      </c>
      <c r="V150" s="27" t="n">
        <f aca="false">DATE(2017,10,MID(T150,7,2))</f>
        <v>43019</v>
      </c>
    </row>
    <row r="151" customFormat="false" ht="14.25" hidden="false" customHeight="false" outlineLevel="0" collapsed="false">
      <c r="A151" s="23" t="n">
        <f aca="false">A150+1</f>
        <v>147</v>
      </c>
      <c r="B151" s="14" t="s">
        <v>165</v>
      </c>
      <c r="C151" s="21" t="n">
        <f aca="false">CODE(RIGHT(B151,1))</f>
        <v>30</v>
      </c>
      <c r="D151" s="14" t="str">
        <f aca="false">CLEAN(B151)</f>
        <v>/PR:Books_SP:Alice20171031 $906     </v>
      </c>
      <c r="E151" s="21" t="n">
        <f aca="false">CODE(RIGHT(D151,1))</f>
        <v>32</v>
      </c>
      <c r="F151" s="14" t="str">
        <f aca="false">SUBSTITUTE(D151,_xlfn.UNICHAR(160)," ")</f>
        <v>/PR:Books_SP:Alice20171031 $906     </v>
      </c>
      <c r="G151" s="14" t="str">
        <f aca="false">SUBSTITUTE(F151,"/","")</f>
        <v>PR:Books_SP:Alice20171031 $906     </v>
      </c>
      <c r="H151" s="14" t="str">
        <f aca="false">SUBSTITUTE(G151,"_"," ")</f>
        <v>PR:Books SP:Alice20171031 $906     </v>
      </c>
      <c r="I151" s="14" t="str">
        <f aca="false">TRIM(H151)</f>
        <v>PR:Books SP:Alice20171031 $906</v>
      </c>
      <c r="J151" s="21" t="n">
        <f aca="false">LEN(I151)</f>
        <v>30</v>
      </c>
      <c r="K151" s="21" t="n">
        <f aca="false">CODE(RIGHT(I151,1))</f>
        <v>54</v>
      </c>
      <c r="L151" s="14" t="str">
        <f aca="false">SUBSTITUTE(I151,"PR:","")</f>
        <v>Books SP:Alice20171031 $906</v>
      </c>
      <c r="M151" s="14" t="str">
        <f aca="false">SUBSTITUTE(L151,"SP:","")</f>
        <v>Books Alice20171031 $906</v>
      </c>
      <c r="N151" s="15" t="str">
        <f aca="false">SUBSTITUTE(M151,"201710"," 201710")</f>
        <v>Books Alice 20171031 $906</v>
      </c>
      <c r="O151" s="21" t="n">
        <f aca="false">FIND(" ",N151)</f>
        <v>6</v>
      </c>
      <c r="P151" s="21" t="n">
        <f aca="false">FIND(" ",N151,O151+1)</f>
        <v>12</v>
      </c>
      <c r="Q151" s="21" t="n">
        <f aca="false">FIND(" ",N151,P151+1)</f>
        <v>21</v>
      </c>
      <c r="R151" s="26" t="str">
        <f aca="false">LEFT(N151,O151-1)</f>
        <v>Books</v>
      </c>
      <c r="S151" s="26" t="str">
        <f aca="false">MID(N151,O151+1,P151-O151-1)</f>
        <v>Alice</v>
      </c>
      <c r="T151" s="26" t="str">
        <f aca="false">MID(N151,P151+1,Q151-P151-1)</f>
        <v>20171031</v>
      </c>
      <c r="U151" s="26" t="n">
        <f aca="false">VALUE(MID(N151,Q151+2,90))</f>
        <v>906</v>
      </c>
      <c r="V151" s="27" t="n">
        <f aca="false">DATE(2017,10,MID(T151,7,2))</f>
        <v>43039</v>
      </c>
    </row>
    <row r="152" customFormat="false" ht="14.25" hidden="false" customHeight="false" outlineLevel="0" collapsed="false">
      <c r="A152" s="23" t="n">
        <f aca="false">A151+1</f>
        <v>148</v>
      </c>
      <c r="B152" s="14" t="s">
        <v>166</v>
      </c>
      <c r="C152" s="21" t="n">
        <f aca="false">CODE(RIGHT(B152,1))</f>
        <v>31</v>
      </c>
      <c r="D152" s="14" t="str">
        <f aca="false">CLEAN(B152)</f>
        <v>///PR:Books___SP:Carol20171010  $725 </v>
      </c>
      <c r="E152" s="21" t="n">
        <f aca="false">CODE(RIGHT(D152,1))</f>
        <v>32</v>
      </c>
      <c r="F152" s="14" t="str">
        <f aca="false">SUBSTITUTE(D152,_xlfn.UNICHAR(160)," ")</f>
        <v>///PR:Books___SP:Carol20171010  $725 </v>
      </c>
      <c r="G152" s="14" t="str">
        <f aca="false">SUBSTITUTE(F152,"/","")</f>
        <v>PR:Books___SP:Carol20171010  $725 </v>
      </c>
      <c r="H152" s="14" t="str">
        <f aca="false">SUBSTITUTE(G152,"_"," ")</f>
        <v>PR:Books   SP:Carol20171010  $725 </v>
      </c>
      <c r="I152" s="14" t="str">
        <f aca="false">TRIM(H152)</f>
        <v>PR:Books SP:Carol20171010 $725</v>
      </c>
      <c r="J152" s="21" t="n">
        <f aca="false">LEN(I152)</f>
        <v>30</v>
      </c>
      <c r="K152" s="21" t="n">
        <f aca="false">CODE(RIGHT(I152,1))</f>
        <v>53</v>
      </c>
      <c r="L152" s="14" t="str">
        <f aca="false">SUBSTITUTE(I152,"PR:","")</f>
        <v>Books SP:Carol20171010 $725</v>
      </c>
      <c r="M152" s="14" t="str">
        <f aca="false">SUBSTITUTE(L152,"SP:","")</f>
        <v>Books Carol20171010 $725</v>
      </c>
      <c r="N152" s="15" t="str">
        <f aca="false">SUBSTITUTE(M152,"201710"," 201710")</f>
        <v>Books Carol 20171010 $725</v>
      </c>
      <c r="O152" s="21" t="n">
        <f aca="false">FIND(" ",N152)</f>
        <v>6</v>
      </c>
      <c r="P152" s="21" t="n">
        <f aca="false">FIND(" ",N152,O152+1)</f>
        <v>12</v>
      </c>
      <c r="Q152" s="21" t="n">
        <f aca="false">FIND(" ",N152,P152+1)</f>
        <v>21</v>
      </c>
      <c r="R152" s="26" t="str">
        <f aca="false">LEFT(N152,O152-1)</f>
        <v>Books</v>
      </c>
      <c r="S152" s="26" t="str">
        <f aca="false">MID(N152,O152+1,P152-O152-1)</f>
        <v>Carol</v>
      </c>
      <c r="T152" s="26" t="str">
        <f aca="false">MID(N152,P152+1,Q152-P152-1)</f>
        <v>20171010</v>
      </c>
      <c r="U152" s="26" t="n">
        <f aca="false">VALUE(MID(N152,Q152+2,90))</f>
        <v>725</v>
      </c>
      <c r="V152" s="27" t="n">
        <f aca="false">DATE(2017,10,MID(T152,7,2))</f>
        <v>43018</v>
      </c>
    </row>
    <row r="153" customFormat="false" ht="14.25" hidden="false" customHeight="false" outlineLevel="0" collapsed="false">
      <c r="A153" s="23" t="n">
        <f aca="false">A152+1</f>
        <v>149</v>
      </c>
      <c r="B153" s="14" t="s">
        <v>167</v>
      </c>
      <c r="C153" s="21" t="n">
        <f aca="false">CODE(RIGHT(B153,1))</f>
        <v>31</v>
      </c>
      <c r="D153" s="14" t="str">
        <f aca="false">CLEAN(B153)</f>
        <v>////PR:Clothing__SP:Carol20171015  $1304    </v>
      </c>
      <c r="E153" s="21" t="n">
        <f aca="false">CODE(RIGHT(D153,1))</f>
        <v>32</v>
      </c>
      <c r="F153" s="14" t="str">
        <f aca="false">SUBSTITUTE(D153,_xlfn.UNICHAR(160)," ")</f>
        <v>////PR:Clothing__SP:Carol20171015  $1304    </v>
      </c>
      <c r="G153" s="14" t="str">
        <f aca="false">SUBSTITUTE(F153,"/","")</f>
        <v>PR:Clothing__SP:Carol20171015  $1304    </v>
      </c>
      <c r="H153" s="14" t="str">
        <f aca="false">SUBSTITUTE(G153,"_"," ")</f>
        <v>PR:Clothing  SP:Carol20171015  $1304    </v>
      </c>
      <c r="I153" s="14" t="str">
        <f aca="false">TRIM(H153)</f>
        <v>PR:Clothing SP:Carol20171015 $1304</v>
      </c>
      <c r="J153" s="21" t="n">
        <f aca="false">LEN(I153)</f>
        <v>34</v>
      </c>
      <c r="K153" s="21" t="n">
        <f aca="false">CODE(RIGHT(I153,1))</f>
        <v>52</v>
      </c>
      <c r="L153" s="14" t="str">
        <f aca="false">SUBSTITUTE(I153,"PR:","")</f>
        <v>Clothing SP:Carol20171015 $1304</v>
      </c>
      <c r="M153" s="14" t="str">
        <f aca="false">SUBSTITUTE(L153,"SP:","")</f>
        <v>Clothing Carol20171015 $1304</v>
      </c>
      <c r="N153" s="15" t="str">
        <f aca="false">SUBSTITUTE(M153,"201710"," 201710")</f>
        <v>Clothing Carol 20171015 $1304</v>
      </c>
      <c r="O153" s="21" t="n">
        <f aca="false">FIND(" ",N153)</f>
        <v>9</v>
      </c>
      <c r="P153" s="21" t="n">
        <f aca="false">FIND(" ",N153,O153+1)</f>
        <v>15</v>
      </c>
      <c r="Q153" s="21" t="n">
        <f aca="false">FIND(" ",N153,P153+1)</f>
        <v>24</v>
      </c>
      <c r="R153" s="26" t="str">
        <f aca="false">LEFT(N153,O153-1)</f>
        <v>Clothing</v>
      </c>
      <c r="S153" s="26" t="str">
        <f aca="false">MID(N153,O153+1,P153-O153-1)</f>
        <v>Carol</v>
      </c>
      <c r="T153" s="26" t="str">
        <f aca="false">MID(N153,P153+1,Q153-P153-1)</f>
        <v>20171015</v>
      </c>
      <c r="U153" s="26" t="n">
        <f aca="false">VALUE(MID(N153,Q153+2,90))</f>
        <v>1304</v>
      </c>
      <c r="V153" s="27" t="n">
        <f aca="false">DATE(2017,10,MID(T153,7,2))</f>
        <v>43023</v>
      </c>
    </row>
    <row r="154" customFormat="false" ht="14.25" hidden="false" customHeight="false" outlineLevel="0" collapsed="false">
      <c r="A154" s="23" t="n">
        <f aca="false">A153+1</f>
        <v>150</v>
      </c>
      <c r="B154" s="14" t="s">
        <v>168</v>
      </c>
      <c r="C154" s="21" t="n">
        <f aca="false">CODE(RIGHT(B154,1))</f>
        <v>28</v>
      </c>
      <c r="D154" s="14" t="str">
        <f aca="false">CLEAN(B154)</f>
        <v>//PR:Games_____SP:Carol20171026   $1050    </v>
      </c>
      <c r="E154" s="21" t="n">
        <f aca="false">CODE(RIGHT(D154,1))</f>
        <v>32</v>
      </c>
      <c r="F154" s="14" t="str">
        <f aca="false">SUBSTITUTE(D154,_xlfn.UNICHAR(160)," ")</f>
        <v>//PR:Games_____SP:Carol20171026   $1050    </v>
      </c>
      <c r="G154" s="14" t="str">
        <f aca="false">SUBSTITUTE(F154,"/","")</f>
        <v>PR:Games_____SP:Carol20171026   $1050    </v>
      </c>
      <c r="H154" s="14" t="str">
        <f aca="false">SUBSTITUTE(G154,"_"," ")</f>
        <v>PR:Games     SP:Carol20171026   $1050    </v>
      </c>
      <c r="I154" s="14" t="str">
        <f aca="false">TRIM(H154)</f>
        <v>PR:Games SP:Carol20171026 $1050</v>
      </c>
      <c r="J154" s="21" t="n">
        <f aca="false">LEN(I154)</f>
        <v>31</v>
      </c>
      <c r="K154" s="21" t="n">
        <f aca="false">CODE(RIGHT(I154,1))</f>
        <v>48</v>
      </c>
      <c r="L154" s="14" t="str">
        <f aca="false">SUBSTITUTE(I154,"PR:","")</f>
        <v>Games SP:Carol20171026 $1050</v>
      </c>
      <c r="M154" s="14" t="str">
        <f aca="false">SUBSTITUTE(L154,"SP:","")</f>
        <v>Games Carol20171026 $1050</v>
      </c>
      <c r="N154" s="15" t="str">
        <f aca="false">SUBSTITUTE(M154,"201710"," 201710")</f>
        <v>Games Carol 20171026 $1050</v>
      </c>
      <c r="O154" s="21" t="n">
        <f aca="false">FIND(" ",N154)</f>
        <v>6</v>
      </c>
      <c r="P154" s="21" t="n">
        <f aca="false">FIND(" ",N154,O154+1)</f>
        <v>12</v>
      </c>
      <c r="Q154" s="21" t="n">
        <f aca="false">FIND(" ",N154,P154+1)</f>
        <v>21</v>
      </c>
      <c r="R154" s="26" t="str">
        <f aca="false">LEFT(N154,O154-1)</f>
        <v>Games</v>
      </c>
      <c r="S154" s="26" t="str">
        <f aca="false">MID(N154,O154+1,P154-O154-1)</f>
        <v>Carol</v>
      </c>
      <c r="T154" s="26" t="str">
        <f aca="false">MID(N154,P154+1,Q154-P154-1)</f>
        <v>20171026</v>
      </c>
      <c r="U154" s="26" t="n">
        <f aca="false">VALUE(MID(N154,Q154+2,90))</f>
        <v>1050</v>
      </c>
      <c r="V154" s="27" t="n">
        <f aca="false">DATE(2017,10,MID(T154,7,2))</f>
        <v>43034</v>
      </c>
    </row>
    <row r="155" customFormat="false" ht="14.25" hidden="false" customHeight="false" outlineLevel="0" collapsed="false">
      <c r="A155" s="23" t="n">
        <f aca="false">A154+1</f>
        <v>151</v>
      </c>
      <c r="B155" s="14" t="s">
        <v>169</v>
      </c>
      <c r="C155" s="21" t="n">
        <f aca="false">CODE(RIGHT(B155,1))</f>
        <v>31</v>
      </c>
      <c r="D155" s="14" t="str">
        <f aca="false">CLEAN(B155)</f>
        <v>/////PR:Books_SP:David2017103   $765 </v>
      </c>
      <c r="E155" s="21" t="n">
        <f aca="false">CODE(RIGHT(D155,1))</f>
        <v>32</v>
      </c>
      <c r="F155" s="14" t="str">
        <f aca="false">SUBSTITUTE(D155,_xlfn.UNICHAR(160)," ")</f>
        <v>/////PR:Books_SP:David2017103   $765 </v>
      </c>
      <c r="G155" s="14" t="str">
        <f aca="false">SUBSTITUTE(F155,"/","")</f>
        <v>PR:Books_SP:David2017103   $765 </v>
      </c>
      <c r="H155" s="14" t="str">
        <f aca="false">SUBSTITUTE(G155,"_"," ")</f>
        <v>PR:Books SP:David2017103   $765 </v>
      </c>
      <c r="I155" s="14" t="str">
        <f aca="false">TRIM(H155)</f>
        <v>PR:Books SP:David2017103 $765</v>
      </c>
      <c r="J155" s="21" t="n">
        <f aca="false">LEN(I155)</f>
        <v>29</v>
      </c>
      <c r="K155" s="21" t="n">
        <f aca="false">CODE(RIGHT(I155,1))</f>
        <v>53</v>
      </c>
      <c r="L155" s="14" t="str">
        <f aca="false">SUBSTITUTE(I155,"PR:","")</f>
        <v>Books SP:David2017103 $765</v>
      </c>
      <c r="M155" s="14" t="str">
        <f aca="false">SUBSTITUTE(L155,"SP:","")</f>
        <v>Books David2017103 $765</v>
      </c>
      <c r="N155" s="15" t="str">
        <f aca="false">SUBSTITUTE(M155,"201710"," 201710")</f>
        <v>Books David 2017103 $765</v>
      </c>
      <c r="O155" s="21" t="n">
        <f aca="false">FIND(" ",N155)</f>
        <v>6</v>
      </c>
      <c r="P155" s="21" t="n">
        <f aca="false">FIND(" ",N155,O155+1)</f>
        <v>12</v>
      </c>
      <c r="Q155" s="21" t="n">
        <f aca="false">FIND(" ",N155,P155+1)</f>
        <v>20</v>
      </c>
      <c r="R155" s="26" t="str">
        <f aca="false">LEFT(N155,O155-1)</f>
        <v>Books</v>
      </c>
      <c r="S155" s="26" t="str">
        <f aca="false">MID(N155,O155+1,P155-O155-1)</f>
        <v>David</v>
      </c>
      <c r="T155" s="26" t="str">
        <f aca="false">MID(N155,P155+1,Q155-P155-1)</f>
        <v>2017103</v>
      </c>
      <c r="U155" s="26" t="n">
        <f aca="false">VALUE(MID(N155,Q155+2,90))</f>
        <v>765</v>
      </c>
      <c r="V155" s="27" t="n">
        <f aca="false">DATE(2017,10,MID(T155,7,2))</f>
        <v>43011</v>
      </c>
    </row>
    <row r="156" customFormat="false" ht="14.25" hidden="false" customHeight="false" outlineLevel="0" collapsed="false">
      <c r="A156" s="23" t="n">
        <f aca="false">A155+1</f>
        <v>152</v>
      </c>
      <c r="B156" s="14" t="s">
        <v>170</v>
      </c>
      <c r="C156" s="21" t="n">
        <f aca="false">CODE(RIGHT(B156,1))</f>
        <v>29</v>
      </c>
      <c r="D156" s="14" t="str">
        <f aca="false">CLEAN(B156)</f>
        <v>//PR:Music__SP:Barney2017101  $1272   </v>
      </c>
      <c r="E156" s="21" t="n">
        <f aca="false">CODE(RIGHT(D156,1))</f>
        <v>32</v>
      </c>
      <c r="F156" s="14" t="str">
        <f aca="false">SUBSTITUTE(D156,_xlfn.UNICHAR(160)," ")</f>
        <v>//PR:Music__SP:Barney2017101  $1272   </v>
      </c>
      <c r="G156" s="14" t="str">
        <f aca="false">SUBSTITUTE(F156,"/","")</f>
        <v>PR:Music__SP:Barney2017101  $1272   </v>
      </c>
      <c r="H156" s="14" t="str">
        <f aca="false">SUBSTITUTE(G156,"_"," ")</f>
        <v>PR:Music  SP:Barney2017101  $1272   </v>
      </c>
      <c r="I156" s="14" t="str">
        <f aca="false">TRIM(H156)</f>
        <v>PR:Music SP:Barney2017101 $1272</v>
      </c>
      <c r="J156" s="21" t="n">
        <f aca="false">LEN(I156)</f>
        <v>31</v>
      </c>
      <c r="K156" s="21" t="n">
        <f aca="false">CODE(RIGHT(I156,1))</f>
        <v>50</v>
      </c>
      <c r="L156" s="14" t="str">
        <f aca="false">SUBSTITUTE(I156,"PR:","")</f>
        <v>Music SP:Barney2017101 $1272</v>
      </c>
      <c r="M156" s="14" t="str">
        <f aca="false">SUBSTITUTE(L156,"SP:","")</f>
        <v>Music Barney2017101 $1272</v>
      </c>
      <c r="N156" s="15" t="str">
        <f aca="false">SUBSTITUTE(M156,"201710"," 201710")</f>
        <v>Music Barney 2017101 $1272</v>
      </c>
      <c r="O156" s="21" t="n">
        <f aca="false">FIND(" ",N156)</f>
        <v>6</v>
      </c>
      <c r="P156" s="21" t="n">
        <f aca="false">FIND(" ",N156,O156+1)</f>
        <v>13</v>
      </c>
      <c r="Q156" s="21" t="n">
        <f aca="false">FIND(" ",N156,P156+1)</f>
        <v>21</v>
      </c>
      <c r="R156" s="26" t="str">
        <f aca="false">LEFT(N156,O156-1)</f>
        <v>Music</v>
      </c>
      <c r="S156" s="26" t="str">
        <f aca="false">MID(N156,O156+1,P156-O156-1)</f>
        <v>Barney</v>
      </c>
      <c r="T156" s="26" t="str">
        <f aca="false">MID(N156,P156+1,Q156-P156-1)</f>
        <v>2017101</v>
      </c>
      <c r="U156" s="26" t="n">
        <f aca="false">VALUE(MID(N156,Q156+2,90))</f>
        <v>1272</v>
      </c>
      <c r="V156" s="27" t="n">
        <f aca="false">DATE(2017,10,MID(T156,7,2))</f>
        <v>43009</v>
      </c>
    </row>
    <row r="157" customFormat="false" ht="14.25" hidden="false" customHeight="false" outlineLevel="0" collapsed="false">
      <c r="A157" s="23" t="n">
        <f aca="false">A156+1</f>
        <v>153</v>
      </c>
      <c r="B157" s="14" t="s">
        <v>171</v>
      </c>
      <c r="C157" s="21" t="n">
        <f aca="false">CODE(RIGHT(B157,1))</f>
        <v>30</v>
      </c>
      <c r="D157" s="14" t="str">
        <f aca="false">CLEAN(B157)</f>
        <v>//PR:Music_SP:David2017107  $1424    </v>
      </c>
      <c r="E157" s="21" t="n">
        <f aca="false">CODE(RIGHT(D157,1))</f>
        <v>32</v>
      </c>
      <c r="F157" s="14" t="str">
        <f aca="false">SUBSTITUTE(D157,_xlfn.UNICHAR(160)," ")</f>
        <v>//PR:Music_SP:David2017107  $1424    </v>
      </c>
      <c r="G157" s="14" t="str">
        <f aca="false">SUBSTITUTE(F157,"/","")</f>
        <v>PR:Music_SP:David2017107  $1424    </v>
      </c>
      <c r="H157" s="14" t="str">
        <f aca="false">SUBSTITUTE(G157,"_"," ")</f>
        <v>PR:Music SP:David2017107  $1424    </v>
      </c>
      <c r="I157" s="14" t="str">
        <f aca="false">TRIM(H157)</f>
        <v>PR:Music SP:David2017107 $1424</v>
      </c>
      <c r="J157" s="21" t="n">
        <f aca="false">LEN(I157)</f>
        <v>30</v>
      </c>
      <c r="K157" s="21" t="n">
        <f aca="false">CODE(RIGHT(I157,1))</f>
        <v>52</v>
      </c>
      <c r="L157" s="14" t="str">
        <f aca="false">SUBSTITUTE(I157,"PR:","")</f>
        <v>Music SP:David2017107 $1424</v>
      </c>
      <c r="M157" s="14" t="str">
        <f aca="false">SUBSTITUTE(L157,"SP:","")</f>
        <v>Music David2017107 $1424</v>
      </c>
      <c r="N157" s="15" t="str">
        <f aca="false">SUBSTITUTE(M157,"201710"," 201710")</f>
        <v>Music David 2017107 $1424</v>
      </c>
      <c r="O157" s="21" t="n">
        <f aca="false">FIND(" ",N157)</f>
        <v>6</v>
      </c>
      <c r="P157" s="21" t="n">
        <f aca="false">FIND(" ",N157,O157+1)</f>
        <v>12</v>
      </c>
      <c r="Q157" s="21" t="n">
        <f aca="false">FIND(" ",N157,P157+1)</f>
        <v>20</v>
      </c>
      <c r="R157" s="26" t="str">
        <f aca="false">LEFT(N157,O157-1)</f>
        <v>Music</v>
      </c>
      <c r="S157" s="26" t="str">
        <f aca="false">MID(N157,O157+1,P157-O157-1)</f>
        <v>David</v>
      </c>
      <c r="T157" s="26" t="str">
        <f aca="false">MID(N157,P157+1,Q157-P157-1)</f>
        <v>2017107</v>
      </c>
      <c r="U157" s="26" t="n">
        <f aca="false">VALUE(MID(N157,Q157+2,90))</f>
        <v>1424</v>
      </c>
      <c r="V157" s="27" t="n">
        <f aca="false">DATE(2017,10,MID(T157,7,2))</f>
        <v>43015</v>
      </c>
    </row>
    <row r="158" customFormat="false" ht="14.25" hidden="false" customHeight="false" outlineLevel="0" collapsed="false">
      <c r="A158" s="23" t="n">
        <f aca="false">A157+1</f>
        <v>154</v>
      </c>
      <c r="B158" s="14" t="s">
        <v>172</v>
      </c>
      <c r="C158" s="21" t="n">
        <f aca="false">CODE(RIGHT(B158,1))</f>
        <v>29</v>
      </c>
      <c r="D158" s="14" t="str">
        <f aca="false">CLEAN(B158)</f>
        <v>/////PR:Music____SP:Alice2017105 $1047     </v>
      </c>
      <c r="E158" s="21" t="n">
        <f aca="false">CODE(RIGHT(D158,1))</f>
        <v>32</v>
      </c>
      <c r="F158" s="14" t="str">
        <f aca="false">SUBSTITUTE(D158,_xlfn.UNICHAR(160)," ")</f>
        <v>/////PR:Music____SP:Alice2017105 $1047     </v>
      </c>
      <c r="G158" s="14" t="str">
        <f aca="false">SUBSTITUTE(F158,"/","")</f>
        <v>PR:Music____SP:Alice2017105 $1047     </v>
      </c>
      <c r="H158" s="14" t="str">
        <f aca="false">SUBSTITUTE(G158,"_"," ")</f>
        <v>PR:Music    SP:Alice2017105 $1047     </v>
      </c>
      <c r="I158" s="14" t="str">
        <f aca="false">TRIM(H158)</f>
        <v>PR:Music SP:Alice2017105 $1047</v>
      </c>
      <c r="J158" s="21" t="n">
        <f aca="false">LEN(I158)</f>
        <v>30</v>
      </c>
      <c r="K158" s="21" t="n">
        <f aca="false">CODE(RIGHT(I158,1))</f>
        <v>55</v>
      </c>
      <c r="L158" s="14" t="str">
        <f aca="false">SUBSTITUTE(I158,"PR:","")</f>
        <v>Music SP:Alice2017105 $1047</v>
      </c>
      <c r="M158" s="14" t="str">
        <f aca="false">SUBSTITUTE(L158,"SP:","")</f>
        <v>Music Alice2017105 $1047</v>
      </c>
      <c r="N158" s="15" t="str">
        <f aca="false">SUBSTITUTE(M158,"201710"," 201710")</f>
        <v>Music Alice 2017105 $1047</v>
      </c>
      <c r="O158" s="21" t="n">
        <f aca="false">FIND(" ",N158)</f>
        <v>6</v>
      </c>
      <c r="P158" s="21" t="n">
        <f aca="false">FIND(" ",N158,O158+1)</f>
        <v>12</v>
      </c>
      <c r="Q158" s="21" t="n">
        <f aca="false">FIND(" ",N158,P158+1)</f>
        <v>20</v>
      </c>
      <c r="R158" s="26" t="str">
        <f aca="false">LEFT(N158,O158-1)</f>
        <v>Music</v>
      </c>
      <c r="S158" s="26" t="str">
        <f aca="false">MID(N158,O158+1,P158-O158-1)</f>
        <v>Alice</v>
      </c>
      <c r="T158" s="26" t="str">
        <f aca="false">MID(N158,P158+1,Q158-P158-1)</f>
        <v>2017105</v>
      </c>
      <c r="U158" s="26" t="n">
        <f aca="false">VALUE(MID(N158,Q158+2,90))</f>
        <v>1047</v>
      </c>
      <c r="V158" s="27" t="n">
        <f aca="false">DATE(2017,10,MID(T158,7,2))</f>
        <v>43013</v>
      </c>
    </row>
    <row r="159" customFormat="false" ht="14.25" hidden="false" customHeight="false" outlineLevel="0" collapsed="false">
      <c r="A159" s="23" t="n">
        <f aca="false">A158+1</f>
        <v>155</v>
      </c>
      <c r="B159" s="14" t="s">
        <v>173</v>
      </c>
      <c r="C159" s="21" t="n">
        <f aca="false">CODE(RIGHT(B159,1))</f>
        <v>29</v>
      </c>
      <c r="D159" s="14" t="str">
        <f aca="false">CLEAN(B159)</f>
        <v>////PR:Games_SP:Carol2017101    $1451   </v>
      </c>
      <c r="E159" s="21" t="n">
        <f aca="false">CODE(RIGHT(D159,1))</f>
        <v>32</v>
      </c>
      <c r="F159" s="14" t="str">
        <f aca="false">SUBSTITUTE(D159,_xlfn.UNICHAR(160)," ")</f>
        <v>////PR:Games_SP:Carol2017101    $1451   </v>
      </c>
      <c r="G159" s="14" t="str">
        <f aca="false">SUBSTITUTE(F159,"/","")</f>
        <v>PR:Games_SP:Carol2017101    $1451   </v>
      </c>
      <c r="H159" s="14" t="str">
        <f aca="false">SUBSTITUTE(G159,"_"," ")</f>
        <v>PR:Games SP:Carol2017101    $1451   </v>
      </c>
      <c r="I159" s="14" t="str">
        <f aca="false">TRIM(H159)</f>
        <v>PR:Games SP:Carol2017101 $1451</v>
      </c>
      <c r="J159" s="21" t="n">
        <f aca="false">LEN(I159)</f>
        <v>30</v>
      </c>
      <c r="K159" s="21" t="n">
        <f aca="false">CODE(RIGHT(I159,1))</f>
        <v>49</v>
      </c>
      <c r="L159" s="14" t="str">
        <f aca="false">SUBSTITUTE(I159,"PR:","")</f>
        <v>Games SP:Carol2017101 $1451</v>
      </c>
      <c r="M159" s="14" t="str">
        <f aca="false">SUBSTITUTE(L159,"SP:","")</f>
        <v>Games Carol2017101 $1451</v>
      </c>
      <c r="N159" s="15" t="str">
        <f aca="false">SUBSTITUTE(M159,"201710"," 201710")</f>
        <v>Games Carol 2017101 $1451</v>
      </c>
      <c r="O159" s="21" t="n">
        <f aca="false">FIND(" ",N159)</f>
        <v>6</v>
      </c>
      <c r="P159" s="21" t="n">
        <f aca="false">FIND(" ",N159,O159+1)</f>
        <v>12</v>
      </c>
      <c r="Q159" s="21" t="n">
        <f aca="false">FIND(" ",N159,P159+1)</f>
        <v>20</v>
      </c>
      <c r="R159" s="26" t="str">
        <f aca="false">LEFT(N159,O159-1)</f>
        <v>Games</v>
      </c>
      <c r="S159" s="26" t="str">
        <f aca="false">MID(N159,O159+1,P159-O159-1)</f>
        <v>Carol</v>
      </c>
      <c r="T159" s="26" t="str">
        <f aca="false">MID(N159,P159+1,Q159-P159-1)</f>
        <v>2017101</v>
      </c>
      <c r="U159" s="26" t="n">
        <f aca="false">VALUE(MID(N159,Q159+2,90))</f>
        <v>1451</v>
      </c>
      <c r="V159" s="27" t="n">
        <f aca="false">DATE(2017,10,MID(T159,7,2))</f>
        <v>43009</v>
      </c>
    </row>
    <row r="160" customFormat="false" ht="14.25" hidden="false" customHeight="false" outlineLevel="0" collapsed="false">
      <c r="A160" s="23" t="n">
        <f aca="false">A159+1</f>
        <v>156</v>
      </c>
      <c r="B160" s="14" t="s">
        <v>174</v>
      </c>
      <c r="C160" s="21" t="n">
        <f aca="false">CODE(RIGHT(B160,1))</f>
        <v>28</v>
      </c>
      <c r="D160" s="14" t="str">
        <f aca="false">CLEAN(B160)</f>
        <v>/////PR:Clothing___SP:Barney20171010    $667   </v>
      </c>
      <c r="E160" s="21" t="n">
        <f aca="false">CODE(RIGHT(D160,1))</f>
        <v>32</v>
      </c>
      <c r="F160" s="14" t="str">
        <f aca="false">SUBSTITUTE(D160,_xlfn.UNICHAR(160)," ")</f>
        <v>/////PR:Clothing___SP:Barney20171010    $667   </v>
      </c>
      <c r="G160" s="14" t="str">
        <f aca="false">SUBSTITUTE(F160,"/","")</f>
        <v>PR:Clothing___SP:Barney20171010    $667   </v>
      </c>
      <c r="H160" s="14" t="str">
        <f aca="false">SUBSTITUTE(G160,"_"," ")</f>
        <v>PR:Clothing   SP:Barney20171010    $667   </v>
      </c>
      <c r="I160" s="14" t="str">
        <f aca="false">TRIM(H160)</f>
        <v>PR:Clothing SP:Barney20171010 $667</v>
      </c>
      <c r="J160" s="21" t="n">
        <f aca="false">LEN(I160)</f>
        <v>34</v>
      </c>
      <c r="K160" s="21" t="n">
        <f aca="false">CODE(RIGHT(I160,1))</f>
        <v>55</v>
      </c>
      <c r="L160" s="14" t="str">
        <f aca="false">SUBSTITUTE(I160,"PR:","")</f>
        <v>Clothing SP:Barney20171010 $667</v>
      </c>
      <c r="M160" s="14" t="str">
        <f aca="false">SUBSTITUTE(L160,"SP:","")</f>
        <v>Clothing Barney20171010 $667</v>
      </c>
      <c r="N160" s="15" t="str">
        <f aca="false">SUBSTITUTE(M160,"201710"," 201710")</f>
        <v>Clothing Barney 20171010 $667</v>
      </c>
      <c r="O160" s="21" t="n">
        <f aca="false">FIND(" ",N160)</f>
        <v>9</v>
      </c>
      <c r="P160" s="21" t="n">
        <f aca="false">FIND(" ",N160,O160+1)</f>
        <v>16</v>
      </c>
      <c r="Q160" s="21" t="n">
        <f aca="false">FIND(" ",N160,P160+1)</f>
        <v>25</v>
      </c>
      <c r="R160" s="26" t="str">
        <f aca="false">LEFT(N160,O160-1)</f>
        <v>Clothing</v>
      </c>
      <c r="S160" s="26" t="str">
        <f aca="false">MID(N160,O160+1,P160-O160-1)</f>
        <v>Barney</v>
      </c>
      <c r="T160" s="26" t="str">
        <f aca="false">MID(N160,P160+1,Q160-P160-1)</f>
        <v>20171010</v>
      </c>
      <c r="U160" s="26" t="n">
        <f aca="false">VALUE(MID(N160,Q160+2,90))</f>
        <v>667</v>
      </c>
      <c r="V160" s="27" t="n">
        <f aca="false">DATE(2017,10,MID(T160,7,2))</f>
        <v>43018</v>
      </c>
    </row>
    <row r="161" customFormat="false" ht="14.25" hidden="false" customHeight="false" outlineLevel="0" collapsed="false">
      <c r="A161" s="23" t="n">
        <f aca="false">A160+1</f>
        <v>157</v>
      </c>
      <c r="B161" s="14" t="s">
        <v>175</v>
      </c>
      <c r="C161" s="21" t="n">
        <f aca="false">CODE(RIGHT(B161,1))</f>
        <v>29</v>
      </c>
      <c r="D161" s="14" t="str">
        <f aca="false">CLEAN(B161)</f>
        <v>///PR:Books_____SP:Carol2017101     $670    </v>
      </c>
      <c r="E161" s="21" t="n">
        <f aca="false">CODE(RIGHT(D161,1))</f>
        <v>32</v>
      </c>
      <c r="F161" s="14" t="str">
        <f aca="false">SUBSTITUTE(D161,_xlfn.UNICHAR(160)," ")</f>
        <v>///PR:Books_____SP:Carol2017101     $670    </v>
      </c>
      <c r="G161" s="14" t="str">
        <f aca="false">SUBSTITUTE(F161,"/","")</f>
        <v>PR:Books_____SP:Carol2017101     $670    </v>
      </c>
      <c r="H161" s="14" t="str">
        <f aca="false">SUBSTITUTE(G161,"_"," ")</f>
        <v>PR:Books     SP:Carol2017101     $670    </v>
      </c>
      <c r="I161" s="14" t="str">
        <f aca="false">TRIM(H161)</f>
        <v>PR:Books SP:Carol2017101 $670</v>
      </c>
      <c r="J161" s="21" t="n">
        <f aca="false">LEN(I161)</f>
        <v>29</v>
      </c>
      <c r="K161" s="21" t="n">
        <f aca="false">CODE(RIGHT(I161,1))</f>
        <v>48</v>
      </c>
      <c r="L161" s="14" t="str">
        <f aca="false">SUBSTITUTE(I161,"PR:","")</f>
        <v>Books SP:Carol2017101 $670</v>
      </c>
      <c r="M161" s="14" t="str">
        <f aca="false">SUBSTITUTE(L161,"SP:","")</f>
        <v>Books Carol2017101 $670</v>
      </c>
      <c r="N161" s="15" t="str">
        <f aca="false">SUBSTITUTE(M161,"201710"," 201710")</f>
        <v>Books Carol 2017101 $670</v>
      </c>
      <c r="O161" s="21" t="n">
        <f aca="false">FIND(" ",N161)</f>
        <v>6</v>
      </c>
      <c r="P161" s="21" t="n">
        <f aca="false">FIND(" ",N161,O161+1)</f>
        <v>12</v>
      </c>
      <c r="Q161" s="21" t="n">
        <f aca="false">FIND(" ",N161,P161+1)</f>
        <v>20</v>
      </c>
      <c r="R161" s="26" t="str">
        <f aca="false">LEFT(N161,O161-1)</f>
        <v>Books</v>
      </c>
      <c r="S161" s="26" t="str">
        <f aca="false">MID(N161,O161+1,P161-O161-1)</f>
        <v>Carol</v>
      </c>
      <c r="T161" s="26" t="str">
        <f aca="false">MID(N161,P161+1,Q161-P161-1)</f>
        <v>2017101</v>
      </c>
      <c r="U161" s="26" t="n">
        <f aca="false">VALUE(MID(N161,Q161+2,90))</f>
        <v>670</v>
      </c>
      <c r="V161" s="27" t="n">
        <f aca="false">DATE(2017,10,MID(T161,7,2))</f>
        <v>43009</v>
      </c>
    </row>
    <row r="162" customFormat="false" ht="14.25" hidden="false" customHeight="false" outlineLevel="0" collapsed="false">
      <c r="A162" s="23" t="n">
        <f aca="false">A161+1</f>
        <v>158</v>
      </c>
      <c r="B162" s="14" t="s">
        <v>176</v>
      </c>
      <c r="C162" s="21" t="n">
        <f aca="false">CODE(RIGHT(B162,1))</f>
        <v>31</v>
      </c>
      <c r="D162" s="14" t="str">
        <f aca="false">CLEAN(B162)</f>
        <v>//PR:Books____SP:David2017104  $729   </v>
      </c>
      <c r="E162" s="21" t="n">
        <f aca="false">CODE(RIGHT(D162,1))</f>
        <v>32</v>
      </c>
      <c r="F162" s="14" t="str">
        <f aca="false">SUBSTITUTE(D162,_xlfn.UNICHAR(160)," ")</f>
        <v>//PR:Books____SP:David2017104  $729   </v>
      </c>
      <c r="G162" s="14" t="str">
        <f aca="false">SUBSTITUTE(F162,"/","")</f>
        <v>PR:Books____SP:David2017104  $729   </v>
      </c>
      <c r="H162" s="14" t="str">
        <f aca="false">SUBSTITUTE(G162,"_"," ")</f>
        <v>PR:Books    SP:David2017104  $729   </v>
      </c>
      <c r="I162" s="14" t="str">
        <f aca="false">TRIM(H162)</f>
        <v>PR:Books SP:David2017104 $729</v>
      </c>
      <c r="J162" s="21" t="n">
        <f aca="false">LEN(I162)</f>
        <v>29</v>
      </c>
      <c r="K162" s="21" t="n">
        <f aca="false">CODE(RIGHT(I162,1))</f>
        <v>57</v>
      </c>
      <c r="L162" s="14" t="str">
        <f aca="false">SUBSTITUTE(I162,"PR:","")</f>
        <v>Books SP:David2017104 $729</v>
      </c>
      <c r="M162" s="14" t="str">
        <f aca="false">SUBSTITUTE(L162,"SP:","")</f>
        <v>Books David2017104 $729</v>
      </c>
      <c r="N162" s="15" t="str">
        <f aca="false">SUBSTITUTE(M162,"201710"," 201710")</f>
        <v>Books David 2017104 $729</v>
      </c>
      <c r="O162" s="21" t="n">
        <f aca="false">FIND(" ",N162)</f>
        <v>6</v>
      </c>
      <c r="P162" s="21" t="n">
        <f aca="false">FIND(" ",N162,O162+1)</f>
        <v>12</v>
      </c>
      <c r="Q162" s="21" t="n">
        <f aca="false">FIND(" ",N162,P162+1)</f>
        <v>20</v>
      </c>
      <c r="R162" s="26" t="str">
        <f aca="false">LEFT(N162,O162-1)</f>
        <v>Books</v>
      </c>
      <c r="S162" s="26" t="str">
        <f aca="false">MID(N162,O162+1,P162-O162-1)</f>
        <v>David</v>
      </c>
      <c r="T162" s="26" t="str">
        <f aca="false">MID(N162,P162+1,Q162-P162-1)</f>
        <v>2017104</v>
      </c>
      <c r="U162" s="26" t="n">
        <f aca="false">VALUE(MID(N162,Q162+2,90))</f>
        <v>729</v>
      </c>
      <c r="V162" s="27" t="n">
        <f aca="false">DATE(2017,10,MID(T162,7,2))</f>
        <v>43012</v>
      </c>
    </row>
    <row r="163" customFormat="false" ht="14.25" hidden="false" customHeight="false" outlineLevel="0" collapsed="false">
      <c r="A163" s="23" t="n">
        <f aca="false">A162+1</f>
        <v>159</v>
      </c>
      <c r="B163" s="14" t="s">
        <v>177</v>
      </c>
      <c r="C163" s="21" t="n">
        <f aca="false">CODE(RIGHT(B163,1))</f>
        <v>31</v>
      </c>
      <c r="D163" s="14" t="str">
        <f aca="false">CLEAN(B163)</f>
        <v>/////PR:Clothing_____SP:Carol20171021  $1864     </v>
      </c>
      <c r="E163" s="21" t="n">
        <f aca="false">CODE(RIGHT(D163,1))</f>
        <v>32</v>
      </c>
      <c r="F163" s="14" t="str">
        <f aca="false">SUBSTITUTE(D163,_xlfn.UNICHAR(160)," ")</f>
        <v>/////PR:Clothing_____SP:Carol20171021  $1864     </v>
      </c>
      <c r="G163" s="14" t="str">
        <f aca="false">SUBSTITUTE(F163,"/","")</f>
        <v>PR:Clothing_____SP:Carol20171021  $1864     </v>
      </c>
      <c r="H163" s="14" t="str">
        <f aca="false">SUBSTITUTE(G163,"_"," ")</f>
        <v>PR:Clothing     SP:Carol20171021  $1864     </v>
      </c>
      <c r="I163" s="14" t="str">
        <f aca="false">TRIM(H163)</f>
        <v>PR:Clothing SP:Carol20171021 $1864</v>
      </c>
      <c r="J163" s="21" t="n">
        <f aca="false">LEN(I163)</f>
        <v>34</v>
      </c>
      <c r="K163" s="21" t="n">
        <f aca="false">CODE(RIGHT(I163,1))</f>
        <v>52</v>
      </c>
      <c r="L163" s="14" t="str">
        <f aca="false">SUBSTITUTE(I163,"PR:","")</f>
        <v>Clothing SP:Carol20171021 $1864</v>
      </c>
      <c r="M163" s="14" t="str">
        <f aca="false">SUBSTITUTE(L163,"SP:","")</f>
        <v>Clothing Carol20171021 $1864</v>
      </c>
      <c r="N163" s="15" t="str">
        <f aca="false">SUBSTITUTE(M163,"201710"," 201710")</f>
        <v>Clothing Carol 20171021 $1864</v>
      </c>
      <c r="O163" s="21" t="n">
        <f aca="false">FIND(" ",N163)</f>
        <v>9</v>
      </c>
      <c r="P163" s="21" t="n">
        <f aca="false">FIND(" ",N163,O163+1)</f>
        <v>15</v>
      </c>
      <c r="Q163" s="21" t="n">
        <f aca="false">FIND(" ",N163,P163+1)</f>
        <v>24</v>
      </c>
      <c r="R163" s="26" t="str">
        <f aca="false">LEFT(N163,O163-1)</f>
        <v>Clothing</v>
      </c>
      <c r="S163" s="26" t="str">
        <f aca="false">MID(N163,O163+1,P163-O163-1)</f>
        <v>Carol</v>
      </c>
      <c r="T163" s="26" t="str">
        <f aca="false">MID(N163,P163+1,Q163-P163-1)</f>
        <v>20171021</v>
      </c>
      <c r="U163" s="26" t="n">
        <f aca="false">VALUE(MID(N163,Q163+2,90))</f>
        <v>1864</v>
      </c>
      <c r="V163" s="27" t="n">
        <f aca="false">DATE(2017,10,MID(T163,7,2))</f>
        <v>43029</v>
      </c>
    </row>
    <row r="164" customFormat="false" ht="14.25" hidden="false" customHeight="false" outlineLevel="0" collapsed="false">
      <c r="A164" s="23" t="n">
        <f aca="false">A163+1</f>
        <v>160</v>
      </c>
      <c r="B164" s="14" t="s">
        <v>178</v>
      </c>
      <c r="C164" s="21" t="n">
        <f aca="false">CODE(RIGHT(B164,1))</f>
        <v>30</v>
      </c>
      <c r="D164" s="14" t="str">
        <f aca="false">CLEAN(B164)</f>
        <v>////PR:Books__SP:Carol20171013    $0   </v>
      </c>
      <c r="E164" s="21" t="n">
        <f aca="false">CODE(RIGHT(D164,1))</f>
        <v>32</v>
      </c>
      <c r="F164" s="14" t="str">
        <f aca="false">SUBSTITUTE(D164,_xlfn.UNICHAR(160)," ")</f>
        <v>////PR:Books__SP:Carol20171013    $0   </v>
      </c>
      <c r="G164" s="14" t="str">
        <f aca="false">SUBSTITUTE(F164,"/","")</f>
        <v>PR:Books__SP:Carol20171013    $0   </v>
      </c>
      <c r="H164" s="14" t="str">
        <f aca="false">SUBSTITUTE(G164,"_"," ")</f>
        <v>PR:Books  SP:Carol20171013    $0   </v>
      </c>
      <c r="I164" s="14" t="str">
        <f aca="false">TRIM(H164)</f>
        <v>PR:Books SP:Carol20171013 $0</v>
      </c>
      <c r="J164" s="21" t="n">
        <f aca="false">LEN(I164)</f>
        <v>28</v>
      </c>
      <c r="K164" s="21" t="n">
        <f aca="false">CODE(RIGHT(I164,1))</f>
        <v>48</v>
      </c>
      <c r="L164" s="14" t="str">
        <f aca="false">SUBSTITUTE(I164,"PR:","")</f>
        <v>Books SP:Carol20171013 $0</v>
      </c>
      <c r="M164" s="14" t="str">
        <f aca="false">SUBSTITUTE(L164,"SP:","")</f>
        <v>Books Carol20171013 $0</v>
      </c>
      <c r="N164" s="15" t="str">
        <f aca="false">SUBSTITUTE(M164,"201710"," 201710")</f>
        <v>Books Carol 20171013 $0</v>
      </c>
      <c r="O164" s="21" t="n">
        <f aca="false">FIND(" ",N164)</f>
        <v>6</v>
      </c>
      <c r="P164" s="21" t="n">
        <f aca="false">FIND(" ",N164,O164+1)</f>
        <v>12</v>
      </c>
      <c r="Q164" s="21" t="n">
        <f aca="false">FIND(" ",N164,P164+1)</f>
        <v>21</v>
      </c>
      <c r="R164" s="26" t="str">
        <f aca="false">LEFT(N164,O164-1)</f>
        <v>Books</v>
      </c>
      <c r="S164" s="26" t="str">
        <f aca="false">MID(N164,O164+1,P164-O164-1)</f>
        <v>Carol</v>
      </c>
      <c r="T164" s="26" t="str">
        <f aca="false">MID(N164,P164+1,Q164-P164-1)</f>
        <v>20171013</v>
      </c>
      <c r="U164" s="26" t="n">
        <f aca="false">VALUE(MID(N164,Q164+2,90))</f>
        <v>0</v>
      </c>
      <c r="V164" s="27" t="n">
        <f aca="false">DATE(2017,10,MID(T164,7,2))</f>
        <v>43021</v>
      </c>
    </row>
    <row r="165" customFormat="false" ht="14.25" hidden="false" customHeight="false" outlineLevel="0" collapsed="false">
      <c r="A165" s="23" t="n">
        <f aca="false">A164+1</f>
        <v>161</v>
      </c>
      <c r="B165" s="14" t="s">
        <v>179</v>
      </c>
      <c r="C165" s="21" t="n">
        <f aca="false">CODE(RIGHT(B165,1))</f>
        <v>31</v>
      </c>
      <c r="D165" s="14" t="str">
        <f aca="false">CLEAN(B165)</f>
        <v>//PR:Clothing_____SP:Carol20171019  $0  </v>
      </c>
      <c r="E165" s="21" t="n">
        <f aca="false">CODE(RIGHT(D165,1))</f>
        <v>32</v>
      </c>
      <c r="F165" s="14" t="str">
        <f aca="false">SUBSTITUTE(D165,_xlfn.UNICHAR(160)," ")</f>
        <v>//PR:Clothing_____SP:Carol20171019  $0  </v>
      </c>
      <c r="G165" s="14" t="str">
        <f aca="false">SUBSTITUTE(F165,"/","")</f>
        <v>PR:Clothing_____SP:Carol20171019  $0  </v>
      </c>
      <c r="H165" s="14" t="str">
        <f aca="false">SUBSTITUTE(G165,"_"," ")</f>
        <v>PR:Clothing     SP:Carol20171019  $0  </v>
      </c>
      <c r="I165" s="14" t="str">
        <f aca="false">TRIM(H165)</f>
        <v>PR:Clothing SP:Carol20171019 $0</v>
      </c>
      <c r="J165" s="21" t="n">
        <f aca="false">LEN(I165)</f>
        <v>31</v>
      </c>
      <c r="K165" s="21" t="n">
        <f aca="false">CODE(RIGHT(I165,1))</f>
        <v>48</v>
      </c>
      <c r="L165" s="14" t="str">
        <f aca="false">SUBSTITUTE(I165,"PR:","")</f>
        <v>Clothing SP:Carol20171019 $0</v>
      </c>
      <c r="M165" s="14" t="str">
        <f aca="false">SUBSTITUTE(L165,"SP:","")</f>
        <v>Clothing Carol20171019 $0</v>
      </c>
      <c r="N165" s="15" t="str">
        <f aca="false">SUBSTITUTE(M165,"201710"," 201710")</f>
        <v>Clothing Carol 20171019 $0</v>
      </c>
      <c r="O165" s="21" t="n">
        <f aca="false">FIND(" ",N165)</f>
        <v>9</v>
      </c>
      <c r="P165" s="21" t="n">
        <f aca="false">FIND(" ",N165,O165+1)</f>
        <v>15</v>
      </c>
      <c r="Q165" s="21" t="n">
        <f aca="false">FIND(" ",N165,P165+1)</f>
        <v>24</v>
      </c>
      <c r="R165" s="26" t="str">
        <f aca="false">LEFT(N165,O165-1)</f>
        <v>Clothing</v>
      </c>
      <c r="S165" s="26" t="str">
        <f aca="false">MID(N165,O165+1,P165-O165-1)</f>
        <v>Carol</v>
      </c>
      <c r="T165" s="26" t="str">
        <f aca="false">MID(N165,P165+1,Q165-P165-1)</f>
        <v>20171019</v>
      </c>
      <c r="U165" s="26" t="n">
        <f aca="false">VALUE(MID(N165,Q165+2,90))</f>
        <v>0</v>
      </c>
      <c r="V165" s="27" t="n">
        <f aca="false">DATE(2017,10,MID(T165,7,2))</f>
        <v>43027</v>
      </c>
    </row>
    <row r="166" customFormat="false" ht="14.25" hidden="false" customHeight="false" outlineLevel="0" collapsed="false">
      <c r="A166" s="23" t="n">
        <f aca="false">A165+1</f>
        <v>162</v>
      </c>
      <c r="B166" s="14" t="s">
        <v>180</v>
      </c>
      <c r="C166" s="21" t="n">
        <f aca="false">CODE(RIGHT(B166,1))</f>
        <v>31</v>
      </c>
      <c r="D166" s="14" t="str">
        <f aca="false">CLEAN(B166)</f>
        <v>/PR:Clothing____SP:David20171028   $850     </v>
      </c>
      <c r="E166" s="21" t="n">
        <f aca="false">CODE(RIGHT(D166,1))</f>
        <v>32</v>
      </c>
      <c r="F166" s="14" t="str">
        <f aca="false">SUBSTITUTE(D166,_xlfn.UNICHAR(160)," ")</f>
        <v>/PR:Clothing____SP:David20171028   $850     </v>
      </c>
      <c r="G166" s="14" t="str">
        <f aca="false">SUBSTITUTE(F166,"/","")</f>
        <v>PR:Clothing____SP:David20171028   $850     </v>
      </c>
      <c r="H166" s="14" t="str">
        <f aca="false">SUBSTITUTE(G166,"_"," ")</f>
        <v>PR:Clothing    SP:David20171028   $850     </v>
      </c>
      <c r="I166" s="14" t="str">
        <f aca="false">TRIM(H166)</f>
        <v>PR:Clothing SP:David20171028 $850</v>
      </c>
      <c r="J166" s="21" t="n">
        <f aca="false">LEN(I166)</f>
        <v>33</v>
      </c>
      <c r="K166" s="21" t="n">
        <f aca="false">CODE(RIGHT(I166,1))</f>
        <v>48</v>
      </c>
      <c r="L166" s="14" t="str">
        <f aca="false">SUBSTITUTE(I166,"PR:","")</f>
        <v>Clothing SP:David20171028 $850</v>
      </c>
      <c r="M166" s="14" t="str">
        <f aca="false">SUBSTITUTE(L166,"SP:","")</f>
        <v>Clothing David20171028 $850</v>
      </c>
      <c r="N166" s="15" t="str">
        <f aca="false">SUBSTITUTE(M166,"201710"," 201710")</f>
        <v>Clothing David 20171028 $850</v>
      </c>
      <c r="O166" s="21" t="n">
        <f aca="false">FIND(" ",N166)</f>
        <v>9</v>
      </c>
      <c r="P166" s="21" t="n">
        <f aca="false">FIND(" ",N166,O166+1)</f>
        <v>15</v>
      </c>
      <c r="Q166" s="21" t="n">
        <f aca="false">FIND(" ",N166,P166+1)</f>
        <v>24</v>
      </c>
      <c r="R166" s="26" t="str">
        <f aca="false">LEFT(N166,O166-1)</f>
        <v>Clothing</v>
      </c>
      <c r="S166" s="26" t="str">
        <f aca="false">MID(N166,O166+1,P166-O166-1)</f>
        <v>David</v>
      </c>
      <c r="T166" s="26" t="str">
        <f aca="false">MID(N166,P166+1,Q166-P166-1)</f>
        <v>20171028</v>
      </c>
      <c r="U166" s="26" t="n">
        <f aca="false">VALUE(MID(N166,Q166+2,90))</f>
        <v>850</v>
      </c>
      <c r="V166" s="27" t="n">
        <f aca="false">DATE(2017,10,MID(T166,7,2))</f>
        <v>43036</v>
      </c>
    </row>
    <row r="167" customFormat="false" ht="14.25" hidden="false" customHeight="false" outlineLevel="0" collapsed="false">
      <c r="A167" s="23" t="n">
        <f aca="false">A166+1</f>
        <v>163</v>
      </c>
      <c r="B167" s="14" t="s">
        <v>181</v>
      </c>
      <c r="C167" s="21" t="n">
        <f aca="false">CODE(RIGHT(B167,1))</f>
        <v>31</v>
      </c>
      <c r="D167" s="14" t="str">
        <f aca="false">CLEAN(B167)</f>
        <v>/PR:Games__SP:Carol20171015     $1500    </v>
      </c>
      <c r="E167" s="21" t="n">
        <f aca="false">CODE(RIGHT(D167,1))</f>
        <v>32</v>
      </c>
      <c r="F167" s="14" t="str">
        <f aca="false">SUBSTITUTE(D167,_xlfn.UNICHAR(160)," ")</f>
        <v>/PR:Games__SP:Carol20171015     $1500    </v>
      </c>
      <c r="G167" s="14" t="str">
        <f aca="false">SUBSTITUTE(F167,"/","")</f>
        <v>PR:Games__SP:Carol20171015     $1500    </v>
      </c>
      <c r="H167" s="14" t="str">
        <f aca="false">SUBSTITUTE(G167,"_"," ")</f>
        <v>PR:Games  SP:Carol20171015     $1500    </v>
      </c>
      <c r="I167" s="14" t="str">
        <f aca="false">TRIM(H167)</f>
        <v>PR:Games SP:Carol20171015 $1500</v>
      </c>
      <c r="J167" s="21" t="n">
        <f aca="false">LEN(I167)</f>
        <v>31</v>
      </c>
      <c r="K167" s="21" t="n">
        <f aca="false">CODE(RIGHT(I167,1))</f>
        <v>48</v>
      </c>
      <c r="L167" s="14" t="str">
        <f aca="false">SUBSTITUTE(I167,"PR:","")</f>
        <v>Games SP:Carol20171015 $1500</v>
      </c>
      <c r="M167" s="14" t="str">
        <f aca="false">SUBSTITUTE(L167,"SP:","")</f>
        <v>Games Carol20171015 $1500</v>
      </c>
      <c r="N167" s="15" t="str">
        <f aca="false">SUBSTITUTE(M167,"201710"," 201710")</f>
        <v>Games Carol 20171015 $1500</v>
      </c>
      <c r="O167" s="21" t="n">
        <f aca="false">FIND(" ",N167)</f>
        <v>6</v>
      </c>
      <c r="P167" s="21" t="n">
        <f aca="false">FIND(" ",N167,O167+1)</f>
        <v>12</v>
      </c>
      <c r="Q167" s="21" t="n">
        <f aca="false">FIND(" ",N167,P167+1)</f>
        <v>21</v>
      </c>
      <c r="R167" s="26" t="str">
        <f aca="false">LEFT(N167,O167-1)</f>
        <v>Games</v>
      </c>
      <c r="S167" s="26" t="str">
        <f aca="false">MID(N167,O167+1,P167-O167-1)</f>
        <v>Carol</v>
      </c>
      <c r="T167" s="26" t="str">
        <f aca="false">MID(N167,P167+1,Q167-P167-1)</f>
        <v>20171015</v>
      </c>
      <c r="U167" s="26" t="n">
        <f aca="false">VALUE(MID(N167,Q167+2,90))</f>
        <v>1500</v>
      </c>
      <c r="V167" s="27" t="n">
        <f aca="false">DATE(2017,10,MID(T167,7,2))</f>
        <v>43023</v>
      </c>
    </row>
    <row r="168" customFormat="false" ht="14.25" hidden="false" customHeight="false" outlineLevel="0" collapsed="false">
      <c r="A168" s="23" t="n">
        <f aca="false">A167+1</f>
        <v>164</v>
      </c>
      <c r="B168" s="14" t="s">
        <v>182</v>
      </c>
      <c r="C168" s="21" t="n">
        <f aca="false">CODE(RIGHT(B168,1))</f>
        <v>28</v>
      </c>
      <c r="D168" s="14" t="str">
        <f aca="false">CLEAN(B168)</f>
        <v>//PR:Music_SP:Carol20171011    $0 </v>
      </c>
      <c r="E168" s="21" t="n">
        <f aca="false">CODE(RIGHT(D168,1))</f>
        <v>32</v>
      </c>
      <c r="F168" s="14" t="str">
        <f aca="false">SUBSTITUTE(D168,_xlfn.UNICHAR(160)," ")</f>
        <v>//PR:Music_SP:Carol20171011    $0 </v>
      </c>
      <c r="G168" s="14" t="str">
        <f aca="false">SUBSTITUTE(F168,"/","")</f>
        <v>PR:Music_SP:Carol20171011    $0 </v>
      </c>
      <c r="H168" s="14" t="str">
        <f aca="false">SUBSTITUTE(G168,"_"," ")</f>
        <v>PR:Music SP:Carol20171011    $0 </v>
      </c>
      <c r="I168" s="14" t="str">
        <f aca="false">TRIM(H168)</f>
        <v>PR:Music SP:Carol20171011 $0</v>
      </c>
      <c r="J168" s="21" t="n">
        <f aca="false">LEN(I168)</f>
        <v>28</v>
      </c>
      <c r="K168" s="21" t="n">
        <f aca="false">CODE(RIGHT(I168,1))</f>
        <v>48</v>
      </c>
      <c r="L168" s="14" t="str">
        <f aca="false">SUBSTITUTE(I168,"PR:","")</f>
        <v>Music SP:Carol20171011 $0</v>
      </c>
      <c r="M168" s="14" t="str">
        <f aca="false">SUBSTITUTE(L168,"SP:","")</f>
        <v>Music Carol20171011 $0</v>
      </c>
      <c r="N168" s="15" t="str">
        <f aca="false">SUBSTITUTE(M168,"201710"," 201710")</f>
        <v>Music Carol 20171011 $0</v>
      </c>
      <c r="O168" s="21" t="n">
        <f aca="false">FIND(" ",N168)</f>
        <v>6</v>
      </c>
      <c r="P168" s="21" t="n">
        <f aca="false">FIND(" ",N168,O168+1)</f>
        <v>12</v>
      </c>
      <c r="Q168" s="21" t="n">
        <f aca="false">FIND(" ",N168,P168+1)</f>
        <v>21</v>
      </c>
      <c r="R168" s="26" t="str">
        <f aca="false">LEFT(N168,O168-1)</f>
        <v>Music</v>
      </c>
      <c r="S168" s="26" t="str">
        <f aca="false">MID(N168,O168+1,P168-O168-1)</f>
        <v>Carol</v>
      </c>
      <c r="T168" s="26" t="str">
        <f aca="false">MID(N168,P168+1,Q168-P168-1)</f>
        <v>20171011</v>
      </c>
      <c r="U168" s="26" t="n">
        <f aca="false">VALUE(MID(N168,Q168+2,90))</f>
        <v>0</v>
      </c>
      <c r="V168" s="27" t="n">
        <f aca="false">DATE(2017,10,MID(T168,7,2))</f>
        <v>43019</v>
      </c>
    </row>
    <row r="169" customFormat="false" ht="14.25" hidden="false" customHeight="false" outlineLevel="0" collapsed="false">
      <c r="A169" s="23" t="n">
        <f aca="false">A168+1</f>
        <v>165</v>
      </c>
      <c r="B169" s="14" t="s">
        <v>183</v>
      </c>
      <c r="C169" s="21" t="n">
        <f aca="false">CODE(RIGHT(B169,1))</f>
        <v>30</v>
      </c>
      <c r="D169" s="14" t="str">
        <f aca="false">CLEAN(B169)</f>
        <v>/PR:Music___SP:Barney2017104   $1242    </v>
      </c>
      <c r="E169" s="21" t="n">
        <f aca="false">CODE(RIGHT(D169,1))</f>
        <v>32</v>
      </c>
      <c r="F169" s="14" t="str">
        <f aca="false">SUBSTITUTE(D169,_xlfn.UNICHAR(160)," ")</f>
        <v>/PR:Music___SP:Barney2017104   $1242    </v>
      </c>
      <c r="G169" s="14" t="str">
        <f aca="false">SUBSTITUTE(F169,"/","")</f>
        <v>PR:Music___SP:Barney2017104   $1242    </v>
      </c>
      <c r="H169" s="14" t="str">
        <f aca="false">SUBSTITUTE(G169,"_"," ")</f>
        <v>PR:Music   SP:Barney2017104   $1242    </v>
      </c>
      <c r="I169" s="14" t="str">
        <f aca="false">TRIM(H169)</f>
        <v>PR:Music SP:Barney2017104 $1242</v>
      </c>
      <c r="J169" s="21" t="n">
        <f aca="false">LEN(I169)</f>
        <v>31</v>
      </c>
      <c r="K169" s="21" t="n">
        <f aca="false">CODE(RIGHT(I169,1))</f>
        <v>50</v>
      </c>
      <c r="L169" s="14" t="str">
        <f aca="false">SUBSTITUTE(I169,"PR:","")</f>
        <v>Music SP:Barney2017104 $1242</v>
      </c>
      <c r="M169" s="14" t="str">
        <f aca="false">SUBSTITUTE(L169,"SP:","")</f>
        <v>Music Barney2017104 $1242</v>
      </c>
      <c r="N169" s="15" t="str">
        <f aca="false">SUBSTITUTE(M169,"201710"," 201710")</f>
        <v>Music Barney 2017104 $1242</v>
      </c>
      <c r="O169" s="21" t="n">
        <f aca="false">FIND(" ",N169)</f>
        <v>6</v>
      </c>
      <c r="P169" s="21" t="n">
        <f aca="false">FIND(" ",N169,O169+1)</f>
        <v>13</v>
      </c>
      <c r="Q169" s="21" t="n">
        <f aca="false">FIND(" ",N169,P169+1)</f>
        <v>21</v>
      </c>
      <c r="R169" s="26" t="str">
        <f aca="false">LEFT(N169,O169-1)</f>
        <v>Music</v>
      </c>
      <c r="S169" s="26" t="str">
        <f aca="false">MID(N169,O169+1,P169-O169-1)</f>
        <v>Barney</v>
      </c>
      <c r="T169" s="26" t="str">
        <f aca="false">MID(N169,P169+1,Q169-P169-1)</f>
        <v>2017104</v>
      </c>
      <c r="U169" s="26" t="n">
        <f aca="false">VALUE(MID(N169,Q169+2,90))</f>
        <v>1242</v>
      </c>
      <c r="V169" s="27" t="n">
        <f aca="false">DATE(2017,10,MID(T169,7,2))</f>
        <v>43012</v>
      </c>
    </row>
    <row r="170" customFormat="false" ht="14.25" hidden="false" customHeight="false" outlineLevel="0" collapsed="false">
      <c r="A170" s="23" t="n">
        <f aca="false">A169+1</f>
        <v>166</v>
      </c>
      <c r="B170" s="14" t="s">
        <v>184</v>
      </c>
      <c r="C170" s="21" t="n">
        <f aca="false">CODE(RIGHT(B170,1))</f>
        <v>30</v>
      </c>
      <c r="D170" s="14" t="str">
        <f aca="false">CLEAN(B170)</f>
        <v>////PR:Music___SP:Carol20171024 $0   </v>
      </c>
      <c r="E170" s="21" t="n">
        <f aca="false">CODE(RIGHT(D170,1))</f>
        <v>32</v>
      </c>
      <c r="F170" s="14" t="str">
        <f aca="false">SUBSTITUTE(D170,_xlfn.UNICHAR(160)," ")</f>
        <v>////PR:Music___SP:Carol20171024 $0   </v>
      </c>
      <c r="G170" s="14" t="str">
        <f aca="false">SUBSTITUTE(F170,"/","")</f>
        <v>PR:Music___SP:Carol20171024 $0   </v>
      </c>
      <c r="H170" s="14" t="str">
        <f aca="false">SUBSTITUTE(G170,"_"," ")</f>
        <v>PR:Music   SP:Carol20171024 $0   </v>
      </c>
      <c r="I170" s="14" t="str">
        <f aca="false">TRIM(H170)</f>
        <v>PR:Music SP:Carol20171024 $0</v>
      </c>
      <c r="J170" s="21" t="n">
        <f aca="false">LEN(I170)</f>
        <v>28</v>
      </c>
      <c r="K170" s="21" t="n">
        <f aca="false">CODE(RIGHT(I170,1))</f>
        <v>48</v>
      </c>
      <c r="L170" s="14" t="str">
        <f aca="false">SUBSTITUTE(I170,"PR:","")</f>
        <v>Music SP:Carol20171024 $0</v>
      </c>
      <c r="M170" s="14" t="str">
        <f aca="false">SUBSTITUTE(L170,"SP:","")</f>
        <v>Music Carol20171024 $0</v>
      </c>
      <c r="N170" s="15" t="str">
        <f aca="false">SUBSTITUTE(M170,"201710"," 201710")</f>
        <v>Music Carol 20171024 $0</v>
      </c>
      <c r="O170" s="21" t="n">
        <f aca="false">FIND(" ",N170)</f>
        <v>6</v>
      </c>
      <c r="P170" s="21" t="n">
        <f aca="false">FIND(" ",N170,O170+1)</f>
        <v>12</v>
      </c>
      <c r="Q170" s="21" t="n">
        <f aca="false">FIND(" ",N170,P170+1)</f>
        <v>21</v>
      </c>
      <c r="R170" s="26" t="str">
        <f aca="false">LEFT(N170,O170-1)</f>
        <v>Music</v>
      </c>
      <c r="S170" s="26" t="str">
        <f aca="false">MID(N170,O170+1,P170-O170-1)</f>
        <v>Carol</v>
      </c>
      <c r="T170" s="26" t="str">
        <f aca="false">MID(N170,P170+1,Q170-P170-1)</f>
        <v>20171024</v>
      </c>
      <c r="U170" s="26" t="n">
        <f aca="false">VALUE(MID(N170,Q170+2,90))</f>
        <v>0</v>
      </c>
      <c r="V170" s="27" t="n">
        <f aca="false">DATE(2017,10,MID(T170,7,2))</f>
        <v>43032</v>
      </c>
    </row>
    <row r="171" customFormat="false" ht="14.25" hidden="false" customHeight="false" outlineLevel="0" collapsed="false">
      <c r="A171" s="23" t="n">
        <f aca="false">A170+1</f>
        <v>167</v>
      </c>
      <c r="B171" s="14" t="s">
        <v>185</v>
      </c>
      <c r="C171" s="21" t="n">
        <f aca="false">CODE(RIGHT(B171,1))</f>
        <v>31</v>
      </c>
      <c r="D171" s="14" t="str">
        <f aca="false">CLEAN(B171)</f>
        <v>/////PR:Books___SP:David20171023  $804     </v>
      </c>
      <c r="E171" s="21" t="n">
        <f aca="false">CODE(RIGHT(D171,1))</f>
        <v>32</v>
      </c>
      <c r="F171" s="14" t="str">
        <f aca="false">SUBSTITUTE(D171,_xlfn.UNICHAR(160)," ")</f>
        <v>/////PR:Books___SP:David20171023  $804     </v>
      </c>
      <c r="G171" s="14" t="str">
        <f aca="false">SUBSTITUTE(F171,"/","")</f>
        <v>PR:Books___SP:David20171023  $804     </v>
      </c>
      <c r="H171" s="14" t="str">
        <f aca="false">SUBSTITUTE(G171,"_"," ")</f>
        <v>PR:Books   SP:David20171023  $804     </v>
      </c>
      <c r="I171" s="14" t="str">
        <f aca="false">TRIM(H171)</f>
        <v>PR:Books SP:David20171023 $804</v>
      </c>
      <c r="J171" s="21" t="n">
        <f aca="false">LEN(I171)</f>
        <v>30</v>
      </c>
      <c r="K171" s="21" t="n">
        <f aca="false">CODE(RIGHT(I171,1))</f>
        <v>52</v>
      </c>
      <c r="L171" s="14" t="str">
        <f aca="false">SUBSTITUTE(I171,"PR:","")</f>
        <v>Books SP:David20171023 $804</v>
      </c>
      <c r="M171" s="14" t="str">
        <f aca="false">SUBSTITUTE(L171,"SP:","")</f>
        <v>Books David20171023 $804</v>
      </c>
      <c r="N171" s="15" t="str">
        <f aca="false">SUBSTITUTE(M171,"201710"," 201710")</f>
        <v>Books David 20171023 $804</v>
      </c>
      <c r="O171" s="21" t="n">
        <f aca="false">FIND(" ",N171)</f>
        <v>6</v>
      </c>
      <c r="P171" s="21" t="n">
        <f aca="false">FIND(" ",N171,O171+1)</f>
        <v>12</v>
      </c>
      <c r="Q171" s="21" t="n">
        <f aca="false">FIND(" ",N171,P171+1)</f>
        <v>21</v>
      </c>
      <c r="R171" s="26" t="str">
        <f aca="false">LEFT(N171,O171-1)</f>
        <v>Books</v>
      </c>
      <c r="S171" s="26" t="str">
        <f aca="false">MID(N171,O171+1,P171-O171-1)</f>
        <v>David</v>
      </c>
      <c r="T171" s="26" t="str">
        <f aca="false">MID(N171,P171+1,Q171-P171-1)</f>
        <v>20171023</v>
      </c>
      <c r="U171" s="26" t="n">
        <f aca="false">VALUE(MID(N171,Q171+2,90))</f>
        <v>804</v>
      </c>
      <c r="V171" s="27" t="n">
        <f aca="false">DATE(2017,10,MID(T171,7,2))</f>
        <v>43031</v>
      </c>
    </row>
    <row r="172" customFormat="false" ht="14.25" hidden="false" customHeight="false" outlineLevel="0" collapsed="false">
      <c r="A172" s="23" t="n">
        <f aca="false">A171+1</f>
        <v>168</v>
      </c>
      <c r="B172" s="14" t="s">
        <v>186</v>
      </c>
      <c r="C172" s="21" t="n">
        <f aca="false">CODE(RIGHT(B172,1))</f>
        <v>28</v>
      </c>
      <c r="D172" s="14" t="str">
        <f aca="false">CLEAN(B172)</f>
        <v>/PR:Clothing_____SP:Barney20171018     $615    </v>
      </c>
      <c r="E172" s="21" t="n">
        <f aca="false">CODE(RIGHT(D172,1))</f>
        <v>32</v>
      </c>
      <c r="F172" s="14" t="str">
        <f aca="false">SUBSTITUTE(D172,_xlfn.UNICHAR(160)," ")</f>
        <v>/PR:Clothing_____SP:Barney20171018     $615    </v>
      </c>
      <c r="G172" s="14" t="str">
        <f aca="false">SUBSTITUTE(F172,"/","")</f>
        <v>PR:Clothing_____SP:Barney20171018     $615    </v>
      </c>
      <c r="H172" s="14" t="str">
        <f aca="false">SUBSTITUTE(G172,"_"," ")</f>
        <v>PR:Clothing     SP:Barney20171018     $615    </v>
      </c>
      <c r="I172" s="14" t="str">
        <f aca="false">TRIM(H172)</f>
        <v>PR:Clothing SP:Barney20171018 $615</v>
      </c>
      <c r="J172" s="21" t="n">
        <f aca="false">LEN(I172)</f>
        <v>34</v>
      </c>
      <c r="K172" s="21" t="n">
        <f aca="false">CODE(RIGHT(I172,1))</f>
        <v>53</v>
      </c>
      <c r="L172" s="14" t="str">
        <f aca="false">SUBSTITUTE(I172,"PR:","")</f>
        <v>Clothing SP:Barney20171018 $615</v>
      </c>
      <c r="M172" s="14" t="str">
        <f aca="false">SUBSTITUTE(L172,"SP:","")</f>
        <v>Clothing Barney20171018 $615</v>
      </c>
      <c r="N172" s="15" t="str">
        <f aca="false">SUBSTITUTE(M172,"201710"," 201710")</f>
        <v>Clothing Barney 20171018 $615</v>
      </c>
      <c r="O172" s="21" t="n">
        <f aca="false">FIND(" ",N172)</f>
        <v>9</v>
      </c>
      <c r="P172" s="21" t="n">
        <f aca="false">FIND(" ",N172,O172+1)</f>
        <v>16</v>
      </c>
      <c r="Q172" s="21" t="n">
        <f aca="false">FIND(" ",N172,P172+1)</f>
        <v>25</v>
      </c>
      <c r="R172" s="26" t="str">
        <f aca="false">LEFT(N172,O172-1)</f>
        <v>Clothing</v>
      </c>
      <c r="S172" s="26" t="str">
        <f aca="false">MID(N172,O172+1,P172-O172-1)</f>
        <v>Barney</v>
      </c>
      <c r="T172" s="26" t="str">
        <f aca="false">MID(N172,P172+1,Q172-P172-1)</f>
        <v>20171018</v>
      </c>
      <c r="U172" s="26" t="n">
        <f aca="false">VALUE(MID(N172,Q172+2,90))</f>
        <v>615</v>
      </c>
      <c r="V172" s="27" t="n">
        <f aca="false">DATE(2017,10,MID(T172,7,2))</f>
        <v>43026</v>
      </c>
    </row>
    <row r="173" customFormat="false" ht="14.25" hidden="false" customHeight="false" outlineLevel="0" collapsed="false">
      <c r="A173" s="23" t="n">
        <f aca="false">A172+1</f>
        <v>169</v>
      </c>
      <c r="B173" s="14" t="s">
        <v>187</v>
      </c>
      <c r="C173" s="21" t="n">
        <f aca="false">CODE(RIGHT(B173,1))</f>
        <v>31</v>
      </c>
      <c r="D173" s="14" t="str">
        <f aca="false">CLEAN(B173)</f>
        <v>//PR:Books___SP:Barney2017106 $0   </v>
      </c>
      <c r="E173" s="21" t="n">
        <f aca="false">CODE(RIGHT(D173,1))</f>
        <v>32</v>
      </c>
      <c r="F173" s="14" t="str">
        <f aca="false">SUBSTITUTE(D173,_xlfn.UNICHAR(160)," ")</f>
        <v>//PR:Books___SP:Barney2017106 $0   </v>
      </c>
      <c r="G173" s="14" t="str">
        <f aca="false">SUBSTITUTE(F173,"/","")</f>
        <v>PR:Books___SP:Barney2017106 $0   </v>
      </c>
      <c r="H173" s="14" t="str">
        <f aca="false">SUBSTITUTE(G173,"_"," ")</f>
        <v>PR:Books   SP:Barney2017106 $0   </v>
      </c>
      <c r="I173" s="14" t="str">
        <f aca="false">TRIM(H173)</f>
        <v>PR:Books SP:Barney2017106 $0</v>
      </c>
      <c r="J173" s="21" t="n">
        <f aca="false">LEN(I173)</f>
        <v>28</v>
      </c>
      <c r="K173" s="21" t="n">
        <f aca="false">CODE(RIGHT(I173,1))</f>
        <v>48</v>
      </c>
      <c r="L173" s="14" t="str">
        <f aca="false">SUBSTITUTE(I173,"PR:","")</f>
        <v>Books SP:Barney2017106 $0</v>
      </c>
      <c r="M173" s="14" t="str">
        <f aca="false">SUBSTITUTE(L173,"SP:","")</f>
        <v>Books Barney2017106 $0</v>
      </c>
      <c r="N173" s="15" t="str">
        <f aca="false">SUBSTITUTE(M173,"201710"," 201710")</f>
        <v>Books Barney 2017106 $0</v>
      </c>
      <c r="O173" s="21" t="n">
        <f aca="false">FIND(" ",N173)</f>
        <v>6</v>
      </c>
      <c r="P173" s="21" t="n">
        <f aca="false">FIND(" ",N173,O173+1)</f>
        <v>13</v>
      </c>
      <c r="Q173" s="21" t="n">
        <f aca="false">FIND(" ",N173,P173+1)</f>
        <v>21</v>
      </c>
      <c r="R173" s="26" t="str">
        <f aca="false">LEFT(N173,O173-1)</f>
        <v>Books</v>
      </c>
      <c r="S173" s="26" t="str">
        <f aca="false">MID(N173,O173+1,P173-O173-1)</f>
        <v>Barney</v>
      </c>
      <c r="T173" s="26" t="str">
        <f aca="false">MID(N173,P173+1,Q173-P173-1)</f>
        <v>2017106</v>
      </c>
      <c r="U173" s="26" t="n">
        <f aca="false">VALUE(MID(N173,Q173+2,90))</f>
        <v>0</v>
      </c>
      <c r="V173" s="27" t="n">
        <f aca="false">DATE(2017,10,MID(T173,7,2))</f>
        <v>43014</v>
      </c>
    </row>
    <row r="174" customFormat="false" ht="14.25" hidden="false" customHeight="false" outlineLevel="0" collapsed="false">
      <c r="A174" s="23" t="n">
        <f aca="false">A173+1</f>
        <v>170</v>
      </c>
      <c r="B174" s="14" t="s">
        <v>188</v>
      </c>
      <c r="C174" s="21" t="n">
        <f aca="false">CODE(RIGHT(B174,1))</f>
        <v>31</v>
      </c>
      <c r="D174" s="14" t="str">
        <f aca="false">CLEAN(B174)</f>
        <v>///PR:Games___SP:Carol20171016  $1900  </v>
      </c>
      <c r="E174" s="21" t="n">
        <f aca="false">CODE(RIGHT(D174,1))</f>
        <v>32</v>
      </c>
      <c r="F174" s="14" t="str">
        <f aca="false">SUBSTITUTE(D174,_xlfn.UNICHAR(160)," ")</f>
        <v>///PR:Games___SP:Carol20171016  $1900  </v>
      </c>
      <c r="G174" s="14" t="str">
        <f aca="false">SUBSTITUTE(F174,"/","")</f>
        <v>PR:Games___SP:Carol20171016  $1900  </v>
      </c>
      <c r="H174" s="14" t="str">
        <f aca="false">SUBSTITUTE(G174,"_"," ")</f>
        <v>PR:Games   SP:Carol20171016  $1900  </v>
      </c>
      <c r="I174" s="14" t="str">
        <f aca="false">TRIM(H174)</f>
        <v>PR:Games SP:Carol20171016 $1900</v>
      </c>
      <c r="J174" s="21" t="n">
        <f aca="false">LEN(I174)</f>
        <v>31</v>
      </c>
      <c r="K174" s="21" t="n">
        <f aca="false">CODE(RIGHT(I174,1))</f>
        <v>48</v>
      </c>
      <c r="L174" s="14" t="str">
        <f aca="false">SUBSTITUTE(I174,"PR:","")</f>
        <v>Games SP:Carol20171016 $1900</v>
      </c>
      <c r="M174" s="14" t="str">
        <f aca="false">SUBSTITUTE(L174,"SP:","")</f>
        <v>Games Carol20171016 $1900</v>
      </c>
      <c r="N174" s="15" t="str">
        <f aca="false">SUBSTITUTE(M174,"201710"," 201710")</f>
        <v>Games Carol 20171016 $1900</v>
      </c>
      <c r="O174" s="21" t="n">
        <f aca="false">FIND(" ",N174)</f>
        <v>6</v>
      </c>
      <c r="P174" s="21" t="n">
        <f aca="false">FIND(" ",N174,O174+1)</f>
        <v>12</v>
      </c>
      <c r="Q174" s="21" t="n">
        <f aca="false">FIND(" ",N174,P174+1)</f>
        <v>21</v>
      </c>
      <c r="R174" s="26" t="str">
        <f aca="false">LEFT(N174,O174-1)</f>
        <v>Games</v>
      </c>
      <c r="S174" s="26" t="str">
        <f aca="false">MID(N174,O174+1,P174-O174-1)</f>
        <v>Carol</v>
      </c>
      <c r="T174" s="26" t="str">
        <f aca="false">MID(N174,P174+1,Q174-P174-1)</f>
        <v>20171016</v>
      </c>
      <c r="U174" s="26" t="n">
        <f aca="false">VALUE(MID(N174,Q174+2,90))</f>
        <v>1900</v>
      </c>
      <c r="V174" s="27" t="n">
        <f aca="false">DATE(2017,10,MID(T174,7,2))</f>
        <v>43024</v>
      </c>
    </row>
    <row r="175" customFormat="false" ht="14.25" hidden="false" customHeight="false" outlineLevel="0" collapsed="false">
      <c r="A175" s="23" t="n">
        <f aca="false">A174+1</f>
        <v>171</v>
      </c>
      <c r="B175" s="14" t="s">
        <v>189</v>
      </c>
      <c r="C175" s="21" t="n">
        <f aca="false">CODE(RIGHT(B175,1))</f>
        <v>29</v>
      </c>
      <c r="D175" s="14" t="str">
        <f aca="false">CLEAN(B175)</f>
        <v>///PR:Clothing_____SP:Alice2017102  $1657 </v>
      </c>
      <c r="E175" s="21" t="n">
        <f aca="false">CODE(RIGHT(D175,1))</f>
        <v>32</v>
      </c>
      <c r="F175" s="14" t="str">
        <f aca="false">SUBSTITUTE(D175,_xlfn.UNICHAR(160)," ")</f>
        <v>///PR:Clothing_____SP:Alice2017102  $1657 </v>
      </c>
      <c r="G175" s="14" t="str">
        <f aca="false">SUBSTITUTE(F175,"/","")</f>
        <v>PR:Clothing_____SP:Alice2017102  $1657 </v>
      </c>
      <c r="H175" s="14" t="str">
        <f aca="false">SUBSTITUTE(G175,"_"," ")</f>
        <v>PR:Clothing     SP:Alice2017102  $1657 </v>
      </c>
      <c r="I175" s="14" t="str">
        <f aca="false">TRIM(H175)</f>
        <v>PR:Clothing SP:Alice2017102 $1657</v>
      </c>
      <c r="J175" s="21" t="n">
        <f aca="false">LEN(I175)</f>
        <v>33</v>
      </c>
      <c r="K175" s="21" t="n">
        <f aca="false">CODE(RIGHT(I175,1))</f>
        <v>55</v>
      </c>
      <c r="L175" s="14" t="str">
        <f aca="false">SUBSTITUTE(I175,"PR:","")</f>
        <v>Clothing SP:Alice2017102 $1657</v>
      </c>
      <c r="M175" s="14" t="str">
        <f aca="false">SUBSTITUTE(L175,"SP:","")</f>
        <v>Clothing Alice2017102 $1657</v>
      </c>
      <c r="N175" s="15" t="str">
        <f aca="false">SUBSTITUTE(M175,"201710"," 201710")</f>
        <v>Clothing Alice 2017102 $1657</v>
      </c>
      <c r="O175" s="21" t="n">
        <f aca="false">FIND(" ",N175)</f>
        <v>9</v>
      </c>
      <c r="P175" s="21" t="n">
        <f aca="false">FIND(" ",N175,O175+1)</f>
        <v>15</v>
      </c>
      <c r="Q175" s="21" t="n">
        <f aca="false">FIND(" ",N175,P175+1)</f>
        <v>23</v>
      </c>
      <c r="R175" s="26" t="str">
        <f aca="false">LEFT(N175,O175-1)</f>
        <v>Clothing</v>
      </c>
      <c r="S175" s="26" t="str">
        <f aca="false">MID(N175,O175+1,P175-O175-1)</f>
        <v>Alice</v>
      </c>
      <c r="T175" s="26" t="str">
        <f aca="false">MID(N175,P175+1,Q175-P175-1)</f>
        <v>2017102</v>
      </c>
      <c r="U175" s="26" t="n">
        <f aca="false">VALUE(MID(N175,Q175+2,90))</f>
        <v>1657</v>
      </c>
      <c r="V175" s="27" t="n">
        <f aca="false">DATE(2017,10,MID(T175,7,2))</f>
        <v>43010</v>
      </c>
    </row>
    <row r="176" customFormat="false" ht="14.25" hidden="false" customHeight="false" outlineLevel="0" collapsed="false">
      <c r="A176" s="23" t="n">
        <f aca="false">A175+1</f>
        <v>172</v>
      </c>
      <c r="B176" s="14" t="s">
        <v>190</v>
      </c>
      <c r="C176" s="21" t="n">
        <f aca="false">CODE(RIGHT(B176,1))</f>
        <v>30</v>
      </c>
      <c r="D176" s="14" t="str">
        <f aca="false">CLEAN(B176)</f>
        <v>/PR:Clothing___SP:Alice20171026    $1243    </v>
      </c>
      <c r="E176" s="21" t="n">
        <f aca="false">CODE(RIGHT(D176,1))</f>
        <v>32</v>
      </c>
      <c r="F176" s="14" t="str">
        <f aca="false">SUBSTITUTE(D176,_xlfn.UNICHAR(160)," ")</f>
        <v>/PR:Clothing___SP:Alice20171026    $1243    </v>
      </c>
      <c r="G176" s="14" t="str">
        <f aca="false">SUBSTITUTE(F176,"/","")</f>
        <v>PR:Clothing___SP:Alice20171026    $1243    </v>
      </c>
      <c r="H176" s="14" t="str">
        <f aca="false">SUBSTITUTE(G176,"_"," ")</f>
        <v>PR:Clothing   SP:Alice20171026    $1243    </v>
      </c>
      <c r="I176" s="14" t="str">
        <f aca="false">TRIM(H176)</f>
        <v>PR:Clothing SP:Alice20171026 $1243</v>
      </c>
      <c r="J176" s="21" t="n">
        <f aca="false">LEN(I176)</f>
        <v>34</v>
      </c>
      <c r="K176" s="21" t="n">
        <f aca="false">CODE(RIGHT(I176,1))</f>
        <v>51</v>
      </c>
      <c r="L176" s="14" t="str">
        <f aca="false">SUBSTITUTE(I176,"PR:","")</f>
        <v>Clothing SP:Alice20171026 $1243</v>
      </c>
      <c r="M176" s="14" t="str">
        <f aca="false">SUBSTITUTE(L176,"SP:","")</f>
        <v>Clothing Alice20171026 $1243</v>
      </c>
      <c r="N176" s="15" t="str">
        <f aca="false">SUBSTITUTE(M176,"201710"," 201710")</f>
        <v>Clothing Alice 20171026 $1243</v>
      </c>
      <c r="O176" s="21" t="n">
        <f aca="false">FIND(" ",N176)</f>
        <v>9</v>
      </c>
      <c r="P176" s="21" t="n">
        <f aca="false">FIND(" ",N176,O176+1)</f>
        <v>15</v>
      </c>
      <c r="Q176" s="21" t="n">
        <f aca="false">FIND(" ",N176,P176+1)</f>
        <v>24</v>
      </c>
      <c r="R176" s="26" t="str">
        <f aca="false">LEFT(N176,O176-1)</f>
        <v>Clothing</v>
      </c>
      <c r="S176" s="26" t="str">
        <f aca="false">MID(N176,O176+1,P176-O176-1)</f>
        <v>Alice</v>
      </c>
      <c r="T176" s="26" t="str">
        <f aca="false">MID(N176,P176+1,Q176-P176-1)</f>
        <v>20171026</v>
      </c>
      <c r="U176" s="26" t="n">
        <f aca="false">VALUE(MID(N176,Q176+2,90))</f>
        <v>1243</v>
      </c>
      <c r="V176" s="27" t="n">
        <f aca="false">DATE(2017,10,MID(T176,7,2))</f>
        <v>43034</v>
      </c>
    </row>
    <row r="177" customFormat="false" ht="14.25" hidden="false" customHeight="false" outlineLevel="0" collapsed="false">
      <c r="A177" s="23" t="n">
        <f aca="false">A176+1</f>
        <v>173</v>
      </c>
      <c r="B177" s="14" t="s">
        <v>191</v>
      </c>
      <c r="C177" s="21" t="n">
        <f aca="false">CODE(RIGHT(B177,1))</f>
        <v>28</v>
      </c>
      <c r="D177" s="14" t="str">
        <f aca="false">CLEAN(B177)</f>
        <v>/PR:Clothing____SP:Barney2017103 $0  </v>
      </c>
      <c r="E177" s="21" t="n">
        <f aca="false">CODE(RIGHT(D177,1))</f>
        <v>32</v>
      </c>
      <c r="F177" s="14" t="str">
        <f aca="false">SUBSTITUTE(D177,_xlfn.UNICHAR(160)," ")</f>
        <v>/PR:Clothing____SP:Barney2017103 $0  </v>
      </c>
      <c r="G177" s="14" t="str">
        <f aca="false">SUBSTITUTE(F177,"/","")</f>
        <v>PR:Clothing____SP:Barney2017103 $0  </v>
      </c>
      <c r="H177" s="14" t="str">
        <f aca="false">SUBSTITUTE(G177,"_"," ")</f>
        <v>PR:Clothing    SP:Barney2017103 $0  </v>
      </c>
      <c r="I177" s="14" t="str">
        <f aca="false">TRIM(H177)</f>
        <v>PR:Clothing SP:Barney2017103 $0</v>
      </c>
      <c r="J177" s="21" t="n">
        <f aca="false">LEN(I177)</f>
        <v>31</v>
      </c>
      <c r="K177" s="21" t="n">
        <f aca="false">CODE(RIGHT(I177,1))</f>
        <v>48</v>
      </c>
      <c r="L177" s="14" t="str">
        <f aca="false">SUBSTITUTE(I177,"PR:","")</f>
        <v>Clothing SP:Barney2017103 $0</v>
      </c>
      <c r="M177" s="14" t="str">
        <f aca="false">SUBSTITUTE(L177,"SP:","")</f>
        <v>Clothing Barney2017103 $0</v>
      </c>
      <c r="N177" s="15" t="str">
        <f aca="false">SUBSTITUTE(M177,"201710"," 201710")</f>
        <v>Clothing Barney 2017103 $0</v>
      </c>
      <c r="O177" s="21" t="n">
        <f aca="false">FIND(" ",N177)</f>
        <v>9</v>
      </c>
      <c r="P177" s="21" t="n">
        <f aca="false">FIND(" ",N177,O177+1)</f>
        <v>16</v>
      </c>
      <c r="Q177" s="21" t="n">
        <f aca="false">FIND(" ",N177,P177+1)</f>
        <v>24</v>
      </c>
      <c r="R177" s="26" t="str">
        <f aca="false">LEFT(N177,O177-1)</f>
        <v>Clothing</v>
      </c>
      <c r="S177" s="26" t="str">
        <f aca="false">MID(N177,O177+1,P177-O177-1)</f>
        <v>Barney</v>
      </c>
      <c r="T177" s="26" t="str">
        <f aca="false">MID(N177,P177+1,Q177-P177-1)</f>
        <v>2017103</v>
      </c>
      <c r="U177" s="26" t="n">
        <f aca="false">VALUE(MID(N177,Q177+2,90))</f>
        <v>0</v>
      </c>
      <c r="V177" s="27" t="n">
        <f aca="false">DATE(2017,10,MID(T177,7,2))</f>
        <v>43011</v>
      </c>
    </row>
    <row r="178" customFormat="false" ht="14.25" hidden="false" customHeight="false" outlineLevel="0" collapsed="false">
      <c r="A178" s="23" t="n">
        <f aca="false">A177+1</f>
        <v>174</v>
      </c>
      <c r="B178" s="14" t="s">
        <v>192</v>
      </c>
      <c r="C178" s="21" t="n">
        <f aca="false">CODE(RIGHT(B178,1))</f>
        <v>29</v>
      </c>
      <c r="D178" s="14" t="str">
        <f aca="false">CLEAN(B178)</f>
        <v>////PR:Games____SP:Carol20171022     $1616   </v>
      </c>
      <c r="E178" s="21" t="n">
        <f aca="false">CODE(RIGHT(D178,1))</f>
        <v>32</v>
      </c>
      <c r="F178" s="14" t="str">
        <f aca="false">SUBSTITUTE(D178,_xlfn.UNICHAR(160)," ")</f>
        <v>////PR:Games____SP:Carol20171022     $1616   </v>
      </c>
      <c r="G178" s="14" t="str">
        <f aca="false">SUBSTITUTE(F178,"/","")</f>
        <v>PR:Games____SP:Carol20171022     $1616   </v>
      </c>
      <c r="H178" s="14" t="str">
        <f aca="false">SUBSTITUTE(G178,"_"," ")</f>
        <v>PR:Games    SP:Carol20171022     $1616   </v>
      </c>
      <c r="I178" s="14" t="str">
        <f aca="false">TRIM(H178)</f>
        <v>PR:Games SP:Carol20171022 $1616</v>
      </c>
      <c r="J178" s="21" t="n">
        <f aca="false">LEN(I178)</f>
        <v>31</v>
      </c>
      <c r="K178" s="21" t="n">
        <f aca="false">CODE(RIGHT(I178,1))</f>
        <v>54</v>
      </c>
      <c r="L178" s="14" t="str">
        <f aca="false">SUBSTITUTE(I178,"PR:","")</f>
        <v>Games SP:Carol20171022 $1616</v>
      </c>
      <c r="M178" s="14" t="str">
        <f aca="false">SUBSTITUTE(L178,"SP:","")</f>
        <v>Games Carol20171022 $1616</v>
      </c>
      <c r="N178" s="15" t="str">
        <f aca="false">SUBSTITUTE(M178,"201710"," 201710")</f>
        <v>Games Carol 20171022 $1616</v>
      </c>
      <c r="O178" s="21" t="n">
        <f aca="false">FIND(" ",N178)</f>
        <v>6</v>
      </c>
      <c r="P178" s="21" t="n">
        <f aca="false">FIND(" ",N178,O178+1)</f>
        <v>12</v>
      </c>
      <c r="Q178" s="21" t="n">
        <f aca="false">FIND(" ",N178,P178+1)</f>
        <v>21</v>
      </c>
      <c r="R178" s="26" t="str">
        <f aca="false">LEFT(N178,O178-1)</f>
        <v>Games</v>
      </c>
      <c r="S178" s="26" t="str">
        <f aca="false">MID(N178,O178+1,P178-O178-1)</f>
        <v>Carol</v>
      </c>
      <c r="T178" s="26" t="str">
        <f aca="false">MID(N178,P178+1,Q178-P178-1)</f>
        <v>20171022</v>
      </c>
      <c r="U178" s="26" t="n">
        <f aca="false">VALUE(MID(N178,Q178+2,90))</f>
        <v>1616</v>
      </c>
      <c r="V178" s="27" t="n">
        <f aca="false">DATE(2017,10,MID(T178,7,2))</f>
        <v>43030</v>
      </c>
    </row>
    <row r="179" customFormat="false" ht="14.25" hidden="false" customHeight="false" outlineLevel="0" collapsed="false">
      <c r="A179" s="23" t="n">
        <f aca="false">A178+1</f>
        <v>175</v>
      </c>
      <c r="B179" s="14" t="s">
        <v>193</v>
      </c>
      <c r="C179" s="21" t="n">
        <f aca="false">CODE(RIGHT(B179,1))</f>
        <v>28</v>
      </c>
      <c r="D179" s="14" t="str">
        <f aca="false">CLEAN(B179)</f>
        <v>/PR:Music_____SP:David2017105 $1136   </v>
      </c>
      <c r="E179" s="21" t="n">
        <f aca="false">CODE(RIGHT(D179,1))</f>
        <v>32</v>
      </c>
      <c r="F179" s="14" t="str">
        <f aca="false">SUBSTITUTE(D179,_xlfn.UNICHAR(160)," ")</f>
        <v>/PR:Music_____SP:David2017105 $1136   </v>
      </c>
      <c r="G179" s="14" t="str">
        <f aca="false">SUBSTITUTE(F179,"/","")</f>
        <v>PR:Music_____SP:David2017105 $1136   </v>
      </c>
      <c r="H179" s="14" t="str">
        <f aca="false">SUBSTITUTE(G179,"_"," ")</f>
        <v>PR:Music     SP:David2017105 $1136   </v>
      </c>
      <c r="I179" s="14" t="str">
        <f aca="false">TRIM(H179)</f>
        <v>PR:Music SP:David2017105 $1136</v>
      </c>
      <c r="J179" s="21" t="n">
        <f aca="false">LEN(I179)</f>
        <v>30</v>
      </c>
      <c r="K179" s="21" t="n">
        <f aca="false">CODE(RIGHT(I179,1))</f>
        <v>54</v>
      </c>
      <c r="L179" s="14" t="str">
        <f aca="false">SUBSTITUTE(I179,"PR:","")</f>
        <v>Music SP:David2017105 $1136</v>
      </c>
      <c r="M179" s="14" t="str">
        <f aca="false">SUBSTITUTE(L179,"SP:","")</f>
        <v>Music David2017105 $1136</v>
      </c>
      <c r="N179" s="15" t="str">
        <f aca="false">SUBSTITUTE(M179,"201710"," 201710")</f>
        <v>Music David 2017105 $1136</v>
      </c>
      <c r="O179" s="21" t="n">
        <f aca="false">FIND(" ",N179)</f>
        <v>6</v>
      </c>
      <c r="P179" s="21" t="n">
        <f aca="false">FIND(" ",N179,O179+1)</f>
        <v>12</v>
      </c>
      <c r="Q179" s="21" t="n">
        <f aca="false">FIND(" ",N179,P179+1)</f>
        <v>20</v>
      </c>
      <c r="R179" s="26" t="str">
        <f aca="false">LEFT(N179,O179-1)</f>
        <v>Music</v>
      </c>
      <c r="S179" s="26" t="str">
        <f aca="false">MID(N179,O179+1,P179-O179-1)</f>
        <v>David</v>
      </c>
      <c r="T179" s="26" t="str">
        <f aca="false">MID(N179,P179+1,Q179-P179-1)</f>
        <v>2017105</v>
      </c>
      <c r="U179" s="26" t="n">
        <f aca="false">VALUE(MID(N179,Q179+2,90))</f>
        <v>1136</v>
      </c>
      <c r="V179" s="27" t="n">
        <f aca="false">DATE(2017,10,MID(T179,7,2))</f>
        <v>43013</v>
      </c>
    </row>
    <row r="180" customFormat="false" ht="14.25" hidden="false" customHeight="false" outlineLevel="0" collapsed="false">
      <c r="A180" s="23" t="n">
        <f aca="false">A179+1</f>
        <v>176</v>
      </c>
      <c r="B180" s="14" t="s">
        <v>194</v>
      </c>
      <c r="C180" s="21" t="n">
        <f aca="false">CODE(RIGHT(B180,1))</f>
        <v>31</v>
      </c>
      <c r="D180" s="14" t="str">
        <f aca="false">CLEAN(B180)</f>
        <v>///PR:Clothing__SP:Alice20171014  $1671  </v>
      </c>
      <c r="E180" s="21" t="n">
        <f aca="false">CODE(RIGHT(D180,1))</f>
        <v>32</v>
      </c>
      <c r="F180" s="14" t="str">
        <f aca="false">SUBSTITUTE(D180,_xlfn.UNICHAR(160)," ")</f>
        <v>///PR:Clothing__SP:Alice20171014  $1671  </v>
      </c>
      <c r="G180" s="14" t="str">
        <f aca="false">SUBSTITUTE(F180,"/","")</f>
        <v>PR:Clothing__SP:Alice20171014  $1671  </v>
      </c>
      <c r="H180" s="14" t="str">
        <f aca="false">SUBSTITUTE(G180,"_"," ")</f>
        <v>PR:Clothing  SP:Alice20171014  $1671  </v>
      </c>
      <c r="I180" s="14" t="str">
        <f aca="false">TRIM(H180)</f>
        <v>PR:Clothing SP:Alice20171014 $1671</v>
      </c>
      <c r="J180" s="21" t="n">
        <f aca="false">LEN(I180)</f>
        <v>34</v>
      </c>
      <c r="K180" s="21" t="n">
        <f aca="false">CODE(RIGHT(I180,1))</f>
        <v>49</v>
      </c>
      <c r="L180" s="14" t="str">
        <f aca="false">SUBSTITUTE(I180,"PR:","")</f>
        <v>Clothing SP:Alice20171014 $1671</v>
      </c>
      <c r="M180" s="14" t="str">
        <f aca="false">SUBSTITUTE(L180,"SP:","")</f>
        <v>Clothing Alice20171014 $1671</v>
      </c>
      <c r="N180" s="15" t="str">
        <f aca="false">SUBSTITUTE(M180,"201710"," 201710")</f>
        <v>Clothing Alice 20171014 $1671</v>
      </c>
      <c r="O180" s="21" t="n">
        <f aca="false">FIND(" ",N180)</f>
        <v>9</v>
      </c>
      <c r="P180" s="21" t="n">
        <f aca="false">FIND(" ",N180,O180+1)</f>
        <v>15</v>
      </c>
      <c r="Q180" s="21" t="n">
        <f aca="false">FIND(" ",N180,P180+1)</f>
        <v>24</v>
      </c>
      <c r="R180" s="26" t="str">
        <f aca="false">LEFT(N180,O180-1)</f>
        <v>Clothing</v>
      </c>
      <c r="S180" s="26" t="str">
        <f aca="false">MID(N180,O180+1,P180-O180-1)</f>
        <v>Alice</v>
      </c>
      <c r="T180" s="26" t="str">
        <f aca="false">MID(N180,P180+1,Q180-P180-1)</f>
        <v>20171014</v>
      </c>
      <c r="U180" s="26" t="n">
        <f aca="false">VALUE(MID(N180,Q180+2,90))</f>
        <v>1671</v>
      </c>
      <c r="V180" s="27" t="n">
        <f aca="false">DATE(2017,10,MID(T180,7,2))</f>
        <v>43022</v>
      </c>
    </row>
    <row r="181" customFormat="false" ht="14.25" hidden="false" customHeight="false" outlineLevel="0" collapsed="false">
      <c r="A181" s="23" t="n">
        <f aca="false">A180+1</f>
        <v>177</v>
      </c>
      <c r="B181" s="14" t="s">
        <v>195</v>
      </c>
      <c r="C181" s="21" t="n">
        <f aca="false">CODE(RIGHT(B181,1))</f>
        <v>29</v>
      </c>
      <c r="D181" s="14" t="str">
        <f aca="false">CLEAN(B181)</f>
        <v>/////PR:Books___SP:Alice2017109    $640   </v>
      </c>
      <c r="E181" s="21" t="n">
        <f aca="false">CODE(RIGHT(D181,1))</f>
        <v>32</v>
      </c>
      <c r="F181" s="14" t="str">
        <f aca="false">SUBSTITUTE(D181,_xlfn.UNICHAR(160)," ")</f>
        <v>/////PR:Books___SP:Alice2017109    $640   </v>
      </c>
      <c r="G181" s="14" t="str">
        <f aca="false">SUBSTITUTE(F181,"/","")</f>
        <v>PR:Books___SP:Alice2017109    $640   </v>
      </c>
      <c r="H181" s="14" t="str">
        <f aca="false">SUBSTITUTE(G181,"_"," ")</f>
        <v>PR:Books   SP:Alice2017109    $640   </v>
      </c>
      <c r="I181" s="14" t="str">
        <f aca="false">TRIM(H181)</f>
        <v>PR:Books SP:Alice2017109 $640</v>
      </c>
      <c r="J181" s="21" t="n">
        <f aca="false">LEN(I181)</f>
        <v>29</v>
      </c>
      <c r="K181" s="21" t="n">
        <f aca="false">CODE(RIGHT(I181,1))</f>
        <v>48</v>
      </c>
      <c r="L181" s="14" t="str">
        <f aca="false">SUBSTITUTE(I181,"PR:","")</f>
        <v>Books SP:Alice2017109 $640</v>
      </c>
      <c r="M181" s="14" t="str">
        <f aca="false">SUBSTITUTE(L181,"SP:","")</f>
        <v>Books Alice2017109 $640</v>
      </c>
      <c r="N181" s="15" t="str">
        <f aca="false">SUBSTITUTE(M181,"201710"," 201710")</f>
        <v>Books Alice 2017109 $640</v>
      </c>
      <c r="O181" s="21" t="n">
        <f aca="false">FIND(" ",N181)</f>
        <v>6</v>
      </c>
      <c r="P181" s="21" t="n">
        <f aca="false">FIND(" ",N181,O181+1)</f>
        <v>12</v>
      </c>
      <c r="Q181" s="21" t="n">
        <f aca="false">FIND(" ",N181,P181+1)</f>
        <v>20</v>
      </c>
      <c r="R181" s="26" t="str">
        <f aca="false">LEFT(N181,O181-1)</f>
        <v>Books</v>
      </c>
      <c r="S181" s="26" t="str">
        <f aca="false">MID(N181,O181+1,P181-O181-1)</f>
        <v>Alice</v>
      </c>
      <c r="T181" s="26" t="str">
        <f aca="false">MID(N181,P181+1,Q181-P181-1)</f>
        <v>2017109</v>
      </c>
      <c r="U181" s="26" t="n">
        <f aca="false">VALUE(MID(N181,Q181+2,90))</f>
        <v>640</v>
      </c>
      <c r="V181" s="27" t="n">
        <f aca="false">DATE(2017,10,MID(T181,7,2))</f>
        <v>43017</v>
      </c>
    </row>
    <row r="182" customFormat="false" ht="14.25" hidden="false" customHeight="false" outlineLevel="0" collapsed="false">
      <c r="A182" s="23" t="n">
        <f aca="false">A181+1</f>
        <v>178</v>
      </c>
      <c r="B182" s="14" t="s">
        <v>196</v>
      </c>
      <c r="C182" s="21" t="n">
        <f aca="false">CODE(RIGHT(B182,1))</f>
        <v>31</v>
      </c>
      <c r="D182" s="14" t="str">
        <f aca="false">CLEAN(B182)</f>
        <v>//PR:Music___SP:Carol20171022 $952    </v>
      </c>
      <c r="E182" s="21" t="n">
        <f aca="false">CODE(RIGHT(D182,1))</f>
        <v>32</v>
      </c>
      <c r="F182" s="14" t="str">
        <f aca="false">SUBSTITUTE(D182,_xlfn.UNICHAR(160)," ")</f>
        <v>//PR:Music___SP:Carol20171022 $952    </v>
      </c>
      <c r="G182" s="14" t="str">
        <f aca="false">SUBSTITUTE(F182,"/","")</f>
        <v>PR:Music___SP:Carol20171022 $952    </v>
      </c>
      <c r="H182" s="14" t="str">
        <f aca="false">SUBSTITUTE(G182,"_"," ")</f>
        <v>PR:Music   SP:Carol20171022 $952    </v>
      </c>
      <c r="I182" s="14" t="str">
        <f aca="false">TRIM(H182)</f>
        <v>PR:Music SP:Carol20171022 $952</v>
      </c>
      <c r="J182" s="21" t="n">
        <f aca="false">LEN(I182)</f>
        <v>30</v>
      </c>
      <c r="K182" s="21" t="n">
        <f aca="false">CODE(RIGHT(I182,1))</f>
        <v>50</v>
      </c>
      <c r="L182" s="14" t="str">
        <f aca="false">SUBSTITUTE(I182,"PR:","")</f>
        <v>Music SP:Carol20171022 $952</v>
      </c>
      <c r="M182" s="14" t="str">
        <f aca="false">SUBSTITUTE(L182,"SP:","")</f>
        <v>Music Carol20171022 $952</v>
      </c>
      <c r="N182" s="15" t="str">
        <f aca="false">SUBSTITUTE(M182,"201710"," 201710")</f>
        <v>Music Carol 20171022 $952</v>
      </c>
      <c r="O182" s="21" t="n">
        <f aca="false">FIND(" ",N182)</f>
        <v>6</v>
      </c>
      <c r="P182" s="21" t="n">
        <f aca="false">FIND(" ",N182,O182+1)</f>
        <v>12</v>
      </c>
      <c r="Q182" s="21" t="n">
        <f aca="false">FIND(" ",N182,P182+1)</f>
        <v>21</v>
      </c>
      <c r="R182" s="26" t="str">
        <f aca="false">LEFT(N182,O182-1)</f>
        <v>Music</v>
      </c>
      <c r="S182" s="26" t="str">
        <f aca="false">MID(N182,O182+1,P182-O182-1)</f>
        <v>Carol</v>
      </c>
      <c r="T182" s="26" t="str">
        <f aca="false">MID(N182,P182+1,Q182-P182-1)</f>
        <v>20171022</v>
      </c>
      <c r="U182" s="26" t="n">
        <f aca="false">VALUE(MID(N182,Q182+2,90))</f>
        <v>952</v>
      </c>
      <c r="V182" s="27" t="n">
        <f aca="false">DATE(2017,10,MID(T182,7,2))</f>
        <v>43030</v>
      </c>
    </row>
    <row r="183" customFormat="false" ht="14.25" hidden="false" customHeight="false" outlineLevel="0" collapsed="false">
      <c r="A183" s="23" t="n">
        <f aca="false">A182+1</f>
        <v>179</v>
      </c>
      <c r="B183" s="14" t="s">
        <v>197</v>
      </c>
      <c r="C183" s="21" t="n">
        <f aca="false">CODE(RIGHT(B183,1))</f>
        <v>28</v>
      </c>
      <c r="D183" s="14" t="str">
        <f aca="false">CLEAN(B183)</f>
        <v>/////PR:Games____SP:Barney20171011   $1198    </v>
      </c>
      <c r="E183" s="21" t="n">
        <f aca="false">CODE(RIGHT(D183,1))</f>
        <v>32</v>
      </c>
      <c r="F183" s="14" t="str">
        <f aca="false">SUBSTITUTE(D183,_xlfn.UNICHAR(160)," ")</f>
        <v>/////PR:Games____SP:Barney20171011   $1198    </v>
      </c>
      <c r="G183" s="14" t="str">
        <f aca="false">SUBSTITUTE(F183,"/","")</f>
        <v>PR:Games____SP:Barney20171011   $1198    </v>
      </c>
      <c r="H183" s="14" t="str">
        <f aca="false">SUBSTITUTE(G183,"_"," ")</f>
        <v>PR:Games    SP:Barney20171011   $1198    </v>
      </c>
      <c r="I183" s="14" t="str">
        <f aca="false">TRIM(H183)</f>
        <v>PR:Games SP:Barney20171011 $1198</v>
      </c>
      <c r="J183" s="21" t="n">
        <f aca="false">LEN(I183)</f>
        <v>32</v>
      </c>
      <c r="K183" s="21" t="n">
        <f aca="false">CODE(RIGHT(I183,1))</f>
        <v>56</v>
      </c>
      <c r="L183" s="14" t="str">
        <f aca="false">SUBSTITUTE(I183,"PR:","")</f>
        <v>Games SP:Barney20171011 $1198</v>
      </c>
      <c r="M183" s="14" t="str">
        <f aca="false">SUBSTITUTE(L183,"SP:","")</f>
        <v>Games Barney20171011 $1198</v>
      </c>
      <c r="N183" s="15" t="str">
        <f aca="false">SUBSTITUTE(M183,"201710"," 201710")</f>
        <v>Games Barney 20171011 $1198</v>
      </c>
      <c r="O183" s="21" t="n">
        <f aca="false">FIND(" ",N183)</f>
        <v>6</v>
      </c>
      <c r="P183" s="21" t="n">
        <f aca="false">FIND(" ",N183,O183+1)</f>
        <v>13</v>
      </c>
      <c r="Q183" s="21" t="n">
        <f aca="false">FIND(" ",N183,P183+1)</f>
        <v>22</v>
      </c>
      <c r="R183" s="26" t="str">
        <f aca="false">LEFT(N183,O183-1)</f>
        <v>Games</v>
      </c>
      <c r="S183" s="26" t="str">
        <f aca="false">MID(N183,O183+1,P183-O183-1)</f>
        <v>Barney</v>
      </c>
      <c r="T183" s="26" t="str">
        <f aca="false">MID(N183,P183+1,Q183-P183-1)</f>
        <v>20171011</v>
      </c>
      <c r="U183" s="26" t="n">
        <f aca="false">VALUE(MID(N183,Q183+2,90))</f>
        <v>1198</v>
      </c>
      <c r="V183" s="27" t="n">
        <f aca="false">DATE(2017,10,MID(T183,7,2))</f>
        <v>43019</v>
      </c>
    </row>
    <row r="184" customFormat="false" ht="14.25" hidden="false" customHeight="false" outlineLevel="0" collapsed="false">
      <c r="A184" s="23" t="n">
        <f aca="false">A183+1</f>
        <v>180</v>
      </c>
      <c r="B184" s="14" t="s">
        <v>198</v>
      </c>
      <c r="C184" s="21" t="n">
        <f aca="false">CODE(RIGHT(B184,1))</f>
        <v>28</v>
      </c>
      <c r="D184" s="14" t="str">
        <f aca="false">CLEAN(B184)</f>
        <v>////PR:Music__SP:Barney20171015   $1291  </v>
      </c>
      <c r="E184" s="21" t="n">
        <f aca="false">CODE(RIGHT(D184,1))</f>
        <v>32</v>
      </c>
      <c r="F184" s="14" t="str">
        <f aca="false">SUBSTITUTE(D184,_xlfn.UNICHAR(160)," ")</f>
        <v>////PR:Music__SP:Barney20171015   $1291  </v>
      </c>
      <c r="G184" s="14" t="str">
        <f aca="false">SUBSTITUTE(F184,"/","")</f>
        <v>PR:Music__SP:Barney20171015   $1291  </v>
      </c>
      <c r="H184" s="14" t="str">
        <f aca="false">SUBSTITUTE(G184,"_"," ")</f>
        <v>PR:Music  SP:Barney20171015   $1291  </v>
      </c>
      <c r="I184" s="14" t="str">
        <f aca="false">TRIM(H184)</f>
        <v>PR:Music SP:Barney20171015 $1291</v>
      </c>
      <c r="J184" s="21" t="n">
        <f aca="false">LEN(I184)</f>
        <v>32</v>
      </c>
      <c r="K184" s="21" t="n">
        <f aca="false">CODE(RIGHT(I184,1))</f>
        <v>49</v>
      </c>
      <c r="L184" s="14" t="str">
        <f aca="false">SUBSTITUTE(I184,"PR:","")</f>
        <v>Music SP:Barney20171015 $1291</v>
      </c>
      <c r="M184" s="14" t="str">
        <f aca="false">SUBSTITUTE(L184,"SP:","")</f>
        <v>Music Barney20171015 $1291</v>
      </c>
      <c r="N184" s="15" t="str">
        <f aca="false">SUBSTITUTE(M184,"201710"," 201710")</f>
        <v>Music Barney 20171015 $1291</v>
      </c>
      <c r="O184" s="21" t="n">
        <f aca="false">FIND(" ",N184)</f>
        <v>6</v>
      </c>
      <c r="P184" s="21" t="n">
        <f aca="false">FIND(" ",N184,O184+1)</f>
        <v>13</v>
      </c>
      <c r="Q184" s="21" t="n">
        <f aca="false">FIND(" ",N184,P184+1)</f>
        <v>22</v>
      </c>
      <c r="R184" s="26" t="str">
        <f aca="false">LEFT(N184,O184-1)</f>
        <v>Music</v>
      </c>
      <c r="S184" s="26" t="str">
        <f aca="false">MID(N184,O184+1,P184-O184-1)</f>
        <v>Barney</v>
      </c>
      <c r="T184" s="26" t="str">
        <f aca="false">MID(N184,P184+1,Q184-P184-1)</f>
        <v>20171015</v>
      </c>
      <c r="U184" s="26" t="n">
        <f aca="false">VALUE(MID(N184,Q184+2,90))</f>
        <v>1291</v>
      </c>
      <c r="V184" s="27" t="n">
        <f aca="false">DATE(2017,10,MID(T184,7,2))</f>
        <v>43023</v>
      </c>
    </row>
    <row r="185" customFormat="false" ht="14.25" hidden="false" customHeight="false" outlineLevel="0" collapsed="false">
      <c r="A185" s="23" t="n">
        <f aca="false">A184+1</f>
        <v>181</v>
      </c>
      <c r="B185" s="14" t="s">
        <v>199</v>
      </c>
      <c r="C185" s="21" t="n">
        <f aca="false">CODE(RIGHT(B185,1))</f>
        <v>31</v>
      </c>
      <c r="D185" s="14" t="str">
        <f aca="false">CLEAN(B185)</f>
        <v>///PR:Games___SP:Carol20171021     $1037 </v>
      </c>
      <c r="E185" s="21" t="n">
        <f aca="false">CODE(RIGHT(D185,1))</f>
        <v>32</v>
      </c>
      <c r="F185" s="14" t="str">
        <f aca="false">SUBSTITUTE(D185,_xlfn.UNICHAR(160)," ")</f>
        <v>///PR:Games___SP:Carol20171021     $1037 </v>
      </c>
      <c r="G185" s="14" t="str">
        <f aca="false">SUBSTITUTE(F185,"/","")</f>
        <v>PR:Games___SP:Carol20171021     $1037 </v>
      </c>
      <c r="H185" s="14" t="str">
        <f aca="false">SUBSTITUTE(G185,"_"," ")</f>
        <v>PR:Games   SP:Carol20171021     $1037 </v>
      </c>
      <c r="I185" s="14" t="str">
        <f aca="false">TRIM(H185)</f>
        <v>PR:Games SP:Carol20171021 $1037</v>
      </c>
      <c r="J185" s="21" t="n">
        <f aca="false">LEN(I185)</f>
        <v>31</v>
      </c>
      <c r="K185" s="21" t="n">
        <f aca="false">CODE(RIGHT(I185,1))</f>
        <v>55</v>
      </c>
      <c r="L185" s="14" t="str">
        <f aca="false">SUBSTITUTE(I185,"PR:","")</f>
        <v>Games SP:Carol20171021 $1037</v>
      </c>
      <c r="M185" s="14" t="str">
        <f aca="false">SUBSTITUTE(L185,"SP:","")</f>
        <v>Games Carol20171021 $1037</v>
      </c>
      <c r="N185" s="15" t="str">
        <f aca="false">SUBSTITUTE(M185,"201710"," 201710")</f>
        <v>Games Carol 20171021 $1037</v>
      </c>
      <c r="O185" s="21" t="n">
        <f aca="false">FIND(" ",N185)</f>
        <v>6</v>
      </c>
      <c r="P185" s="21" t="n">
        <f aca="false">FIND(" ",N185,O185+1)</f>
        <v>12</v>
      </c>
      <c r="Q185" s="21" t="n">
        <f aca="false">FIND(" ",N185,P185+1)</f>
        <v>21</v>
      </c>
      <c r="R185" s="26" t="str">
        <f aca="false">LEFT(N185,O185-1)</f>
        <v>Games</v>
      </c>
      <c r="S185" s="26" t="str">
        <f aca="false">MID(N185,O185+1,P185-O185-1)</f>
        <v>Carol</v>
      </c>
      <c r="T185" s="26" t="str">
        <f aca="false">MID(N185,P185+1,Q185-P185-1)</f>
        <v>20171021</v>
      </c>
      <c r="U185" s="26" t="n">
        <f aca="false">VALUE(MID(N185,Q185+2,90))</f>
        <v>1037</v>
      </c>
      <c r="V185" s="27" t="n">
        <f aca="false">DATE(2017,10,MID(T185,7,2))</f>
        <v>43029</v>
      </c>
    </row>
    <row r="186" customFormat="false" ht="14.25" hidden="false" customHeight="false" outlineLevel="0" collapsed="false">
      <c r="A186" s="23" t="n">
        <f aca="false">A185+1</f>
        <v>182</v>
      </c>
      <c r="B186" s="14" t="s">
        <v>200</v>
      </c>
      <c r="C186" s="21" t="n">
        <f aca="false">CODE(RIGHT(B186,1))</f>
        <v>28</v>
      </c>
      <c r="D186" s="14" t="str">
        <f aca="false">CLEAN(B186)</f>
        <v>///PR:Clothing_____SP:Barney20171027  $1105    </v>
      </c>
      <c r="E186" s="21" t="n">
        <f aca="false">CODE(RIGHT(D186,1))</f>
        <v>32</v>
      </c>
      <c r="F186" s="14" t="str">
        <f aca="false">SUBSTITUTE(D186,_xlfn.UNICHAR(160)," ")</f>
        <v>///PR:Clothing_____SP:Barney20171027  $1105    </v>
      </c>
      <c r="G186" s="14" t="str">
        <f aca="false">SUBSTITUTE(F186,"/","")</f>
        <v>PR:Clothing_____SP:Barney20171027  $1105    </v>
      </c>
      <c r="H186" s="14" t="str">
        <f aca="false">SUBSTITUTE(G186,"_"," ")</f>
        <v>PR:Clothing     SP:Barney20171027  $1105    </v>
      </c>
      <c r="I186" s="14" t="str">
        <f aca="false">TRIM(H186)</f>
        <v>PR:Clothing SP:Barney20171027 $1105</v>
      </c>
      <c r="J186" s="21" t="n">
        <f aca="false">LEN(I186)</f>
        <v>35</v>
      </c>
      <c r="K186" s="21" t="n">
        <f aca="false">CODE(RIGHT(I186,1))</f>
        <v>53</v>
      </c>
      <c r="L186" s="14" t="str">
        <f aca="false">SUBSTITUTE(I186,"PR:","")</f>
        <v>Clothing SP:Barney20171027 $1105</v>
      </c>
      <c r="M186" s="14" t="str">
        <f aca="false">SUBSTITUTE(L186,"SP:","")</f>
        <v>Clothing Barney20171027 $1105</v>
      </c>
      <c r="N186" s="15" t="str">
        <f aca="false">SUBSTITUTE(M186,"201710"," 201710")</f>
        <v>Clothing Barney 20171027 $1105</v>
      </c>
      <c r="O186" s="21" t="n">
        <f aca="false">FIND(" ",N186)</f>
        <v>9</v>
      </c>
      <c r="P186" s="21" t="n">
        <f aca="false">FIND(" ",N186,O186+1)</f>
        <v>16</v>
      </c>
      <c r="Q186" s="21" t="n">
        <f aca="false">FIND(" ",N186,P186+1)</f>
        <v>25</v>
      </c>
      <c r="R186" s="26" t="str">
        <f aca="false">LEFT(N186,O186-1)</f>
        <v>Clothing</v>
      </c>
      <c r="S186" s="26" t="str">
        <f aca="false">MID(N186,O186+1,P186-O186-1)</f>
        <v>Barney</v>
      </c>
      <c r="T186" s="26" t="str">
        <f aca="false">MID(N186,P186+1,Q186-P186-1)</f>
        <v>20171027</v>
      </c>
      <c r="U186" s="26" t="n">
        <f aca="false">VALUE(MID(N186,Q186+2,90))</f>
        <v>1105</v>
      </c>
      <c r="V186" s="27" t="n">
        <f aca="false">DATE(2017,10,MID(T186,7,2))</f>
        <v>43035</v>
      </c>
    </row>
    <row r="187" customFormat="false" ht="14.25" hidden="false" customHeight="false" outlineLevel="0" collapsed="false">
      <c r="A187" s="23" t="n">
        <f aca="false">A186+1</f>
        <v>183</v>
      </c>
      <c r="B187" s="14" t="s">
        <v>201</v>
      </c>
      <c r="C187" s="21" t="n">
        <f aca="false">CODE(RIGHT(B187,1))</f>
        <v>28</v>
      </c>
      <c r="D187" s="14" t="str">
        <f aca="false">CLEAN(B187)</f>
        <v>///PR:Books_SP:Carol20171024     $767     </v>
      </c>
      <c r="E187" s="21" t="n">
        <f aca="false">CODE(RIGHT(D187,1))</f>
        <v>32</v>
      </c>
      <c r="F187" s="14" t="str">
        <f aca="false">SUBSTITUTE(D187,_xlfn.UNICHAR(160)," ")</f>
        <v>///PR:Books_SP:Carol20171024     $767     </v>
      </c>
      <c r="G187" s="14" t="str">
        <f aca="false">SUBSTITUTE(F187,"/","")</f>
        <v>PR:Books_SP:Carol20171024     $767     </v>
      </c>
      <c r="H187" s="14" t="str">
        <f aca="false">SUBSTITUTE(G187,"_"," ")</f>
        <v>PR:Books SP:Carol20171024     $767     </v>
      </c>
      <c r="I187" s="14" t="str">
        <f aca="false">TRIM(H187)</f>
        <v>PR:Books SP:Carol20171024 $767</v>
      </c>
      <c r="J187" s="21" t="n">
        <f aca="false">LEN(I187)</f>
        <v>30</v>
      </c>
      <c r="K187" s="21" t="n">
        <f aca="false">CODE(RIGHT(I187,1))</f>
        <v>55</v>
      </c>
      <c r="L187" s="14" t="str">
        <f aca="false">SUBSTITUTE(I187,"PR:","")</f>
        <v>Books SP:Carol20171024 $767</v>
      </c>
      <c r="M187" s="14" t="str">
        <f aca="false">SUBSTITUTE(L187,"SP:","")</f>
        <v>Books Carol20171024 $767</v>
      </c>
      <c r="N187" s="15" t="str">
        <f aca="false">SUBSTITUTE(M187,"201710"," 201710")</f>
        <v>Books Carol 20171024 $767</v>
      </c>
      <c r="O187" s="21" t="n">
        <f aca="false">FIND(" ",N187)</f>
        <v>6</v>
      </c>
      <c r="P187" s="21" t="n">
        <f aca="false">FIND(" ",N187,O187+1)</f>
        <v>12</v>
      </c>
      <c r="Q187" s="21" t="n">
        <f aca="false">FIND(" ",N187,P187+1)</f>
        <v>21</v>
      </c>
      <c r="R187" s="26" t="str">
        <f aca="false">LEFT(N187,O187-1)</f>
        <v>Books</v>
      </c>
      <c r="S187" s="26" t="str">
        <f aca="false">MID(N187,O187+1,P187-O187-1)</f>
        <v>Carol</v>
      </c>
      <c r="T187" s="26" t="str">
        <f aca="false">MID(N187,P187+1,Q187-P187-1)</f>
        <v>20171024</v>
      </c>
      <c r="U187" s="26" t="n">
        <f aca="false">VALUE(MID(N187,Q187+2,90))</f>
        <v>767</v>
      </c>
      <c r="V187" s="27" t="n">
        <f aca="false">DATE(2017,10,MID(T187,7,2))</f>
        <v>43032</v>
      </c>
    </row>
    <row r="188" customFormat="false" ht="14.25" hidden="false" customHeight="false" outlineLevel="0" collapsed="false">
      <c r="A188" s="23" t="n">
        <f aca="false">A187+1</f>
        <v>184</v>
      </c>
      <c r="B188" s="14" t="s">
        <v>202</v>
      </c>
      <c r="C188" s="21" t="n">
        <f aca="false">CODE(RIGHT(B188,1))</f>
        <v>29</v>
      </c>
      <c r="D188" s="14" t="str">
        <f aca="false">CLEAN(B188)</f>
        <v>////PR:Clothing____SP:Alice2017103    $1121     </v>
      </c>
      <c r="E188" s="21" t="n">
        <f aca="false">CODE(RIGHT(D188,1))</f>
        <v>32</v>
      </c>
      <c r="F188" s="14" t="str">
        <f aca="false">SUBSTITUTE(D188,_xlfn.UNICHAR(160)," ")</f>
        <v>////PR:Clothing____SP:Alice2017103    $1121     </v>
      </c>
      <c r="G188" s="14" t="str">
        <f aca="false">SUBSTITUTE(F188,"/","")</f>
        <v>PR:Clothing____SP:Alice2017103    $1121     </v>
      </c>
      <c r="H188" s="14" t="str">
        <f aca="false">SUBSTITUTE(G188,"_"," ")</f>
        <v>PR:Clothing    SP:Alice2017103    $1121     </v>
      </c>
      <c r="I188" s="14" t="str">
        <f aca="false">TRIM(H188)</f>
        <v>PR:Clothing SP:Alice2017103 $1121</v>
      </c>
      <c r="J188" s="21" t="n">
        <f aca="false">LEN(I188)</f>
        <v>33</v>
      </c>
      <c r="K188" s="21" t="n">
        <f aca="false">CODE(RIGHT(I188,1))</f>
        <v>49</v>
      </c>
      <c r="L188" s="14" t="str">
        <f aca="false">SUBSTITUTE(I188,"PR:","")</f>
        <v>Clothing SP:Alice2017103 $1121</v>
      </c>
      <c r="M188" s="14" t="str">
        <f aca="false">SUBSTITUTE(L188,"SP:","")</f>
        <v>Clothing Alice2017103 $1121</v>
      </c>
      <c r="N188" s="15" t="str">
        <f aca="false">SUBSTITUTE(M188,"201710"," 201710")</f>
        <v>Clothing Alice 2017103 $1121</v>
      </c>
      <c r="O188" s="21" t="n">
        <f aca="false">FIND(" ",N188)</f>
        <v>9</v>
      </c>
      <c r="P188" s="21" t="n">
        <f aca="false">FIND(" ",N188,O188+1)</f>
        <v>15</v>
      </c>
      <c r="Q188" s="21" t="n">
        <f aca="false">FIND(" ",N188,P188+1)</f>
        <v>23</v>
      </c>
      <c r="R188" s="26" t="str">
        <f aca="false">LEFT(N188,O188-1)</f>
        <v>Clothing</v>
      </c>
      <c r="S188" s="26" t="str">
        <f aca="false">MID(N188,O188+1,P188-O188-1)</f>
        <v>Alice</v>
      </c>
      <c r="T188" s="26" t="str">
        <f aca="false">MID(N188,P188+1,Q188-P188-1)</f>
        <v>2017103</v>
      </c>
      <c r="U188" s="26" t="n">
        <f aca="false">VALUE(MID(N188,Q188+2,90))</f>
        <v>1121</v>
      </c>
      <c r="V188" s="27" t="n">
        <f aca="false">DATE(2017,10,MID(T188,7,2))</f>
        <v>43011</v>
      </c>
    </row>
    <row r="189" customFormat="false" ht="14.25" hidden="false" customHeight="false" outlineLevel="0" collapsed="false">
      <c r="A189" s="23" t="n">
        <f aca="false">A188+1</f>
        <v>185</v>
      </c>
      <c r="B189" s="14" t="s">
        <v>203</v>
      </c>
      <c r="C189" s="21" t="n">
        <f aca="false">CODE(RIGHT(B189,1))</f>
        <v>28</v>
      </c>
      <c r="D189" s="14" t="str">
        <f aca="false">CLEAN(B189)</f>
        <v>//PR:Music_SP:Barney20171012  $914  </v>
      </c>
      <c r="E189" s="21" t="n">
        <f aca="false">CODE(RIGHT(D189,1))</f>
        <v>32</v>
      </c>
      <c r="F189" s="14" t="str">
        <f aca="false">SUBSTITUTE(D189,_xlfn.UNICHAR(160)," ")</f>
        <v>//PR:Music_SP:Barney20171012  $914  </v>
      </c>
      <c r="G189" s="14" t="str">
        <f aca="false">SUBSTITUTE(F189,"/","")</f>
        <v>PR:Music_SP:Barney20171012  $914  </v>
      </c>
      <c r="H189" s="14" t="str">
        <f aca="false">SUBSTITUTE(G189,"_"," ")</f>
        <v>PR:Music SP:Barney20171012  $914  </v>
      </c>
      <c r="I189" s="14" t="str">
        <f aca="false">TRIM(H189)</f>
        <v>PR:Music SP:Barney20171012 $914</v>
      </c>
      <c r="J189" s="21" t="n">
        <f aca="false">LEN(I189)</f>
        <v>31</v>
      </c>
      <c r="K189" s="21" t="n">
        <f aca="false">CODE(RIGHT(I189,1))</f>
        <v>52</v>
      </c>
      <c r="L189" s="14" t="str">
        <f aca="false">SUBSTITUTE(I189,"PR:","")</f>
        <v>Music SP:Barney20171012 $914</v>
      </c>
      <c r="M189" s="14" t="str">
        <f aca="false">SUBSTITUTE(L189,"SP:","")</f>
        <v>Music Barney20171012 $914</v>
      </c>
      <c r="N189" s="15" t="str">
        <f aca="false">SUBSTITUTE(M189,"201710"," 201710")</f>
        <v>Music Barney 20171012 $914</v>
      </c>
      <c r="O189" s="21" t="n">
        <f aca="false">FIND(" ",N189)</f>
        <v>6</v>
      </c>
      <c r="P189" s="21" t="n">
        <f aca="false">FIND(" ",N189,O189+1)</f>
        <v>13</v>
      </c>
      <c r="Q189" s="21" t="n">
        <f aca="false">FIND(" ",N189,P189+1)</f>
        <v>22</v>
      </c>
      <c r="R189" s="26" t="str">
        <f aca="false">LEFT(N189,O189-1)</f>
        <v>Music</v>
      </c>
      <c r="S189" s="26" t="str">
        <f aca="false">MID(N189,O189+1,P189-O189-1)</f>
        <v>Barney</v>
      </c>
      <c r="T189" s="26" t="str">
        <f aca="false">MID(N189,P189+1,Q189-P189-1)</f>
        <v>20171012</v>
      </c>
      <c r="U189" s="26" t="n">
        <f aca="false">VALUE(MID(N189,Q189+2,90))</f>
        <v>914</v>
      </c>
      <c r="V189" s="27" t="n">
        <f aca="false">DATE(2017,10,MID(T189,7,2))</f>
        <v>43020</v>
      </c>
    </row>
    <row r="190" customFormat="false" ht="14.25" hidden="false" customHeight="false" outlineLevel="0" collapsed="false">
      <c r="A190" s="23" t="n">
        <f aca="false">A189+1</f>
        <v>186</v>
      </c>
      <c r="B190" s="14" t="s">
        <v>204</v>
      </c>
      <c r="C190" s="21" t="n">
        <f aca="false">CODE(RIGHT(B190,1))</f>
        <v>29</v>
      </c>
      <c r="D190" s="14" t="str">
        <f aca="false">CLEAN(B190)</f>
        <v>///PR:Clothing_____SP:David2017108   $1631  </v>
      </c>
      <c r="E190" s="21" t="n">
        <f aca="false">CODE(RIGHT(D190,1))</f>
        <v>32</v>
      </c>
      <c r="F190" s="14" t="str">
        <f aca="false">SUBSTITUTE(D190,_xlfn.UNICHAR(160)," ")</f>
        <v>///PR:Clothing_____SP:David2017108   $1631  </v>
      </c>
      <c r="G190" s="14" t="str">
        <f aca="false">SUBSTITUTE(F190,"/","")</f>
        <v>PR:Clothing_____SP:David2017108   $1631  </v>
      </c>
      <c r="H190" s="14" t="str">
        <f aca="false">SUBSTITUTE(G190,"_"," ")</f>
        <v>PR:Clothing     SP:David2017108   $1631  </v>
      </c>
      <c r="I190" s="14" t="str">
        <f aca="false">TRIM(H190)</f>
        <v>PR:Clothing SP:David2017108 $1631</v>
      </c>
      <c r="J190" s="21" t="n">
        <f aca="false">LEN(I190)</f>
        <v>33</v>
      </c>
      <c r="K190" s="21" t="n">
        <f aca="false">CODE(RIGHT(I190,1))</f>
        <v>49</v>
      </c>
      <c r="L190" s="14" t="str">
        <f aca="false">SUBSTITUTE(I190,"PR:","")</f>
        <v>Clothing SP:David2017108 $1631</v>
      </c>
      <c r="M190" s="14" t="str">
        <f aca="false">SUBSTITUTE(L190,"SP:","")</f>
        <v>Clothing David2017108 $1631</v>
      </c>
      <c r="N190" s="15" t="str">
        <f aca="false">SUBSTITUTE(M190,"201710"," 201710")</f>
        <v>Clothing David 2017108 $1631</v>
      </c>
      <c r="O190" s="21" t="n">
        <f aca="false">FIND(" ",N190)</f>
        <v>9</v>
      </c>
      <c r="P190" s="21" t="n">
        <f aca="false">FIND(" ",N190,O190+1)</f>
        <v>15</v>
      </c>
      <c r="Q190" s="21" t="n">
        <f aca="false">FIND(" ",N190,P190+1)</f>
        <v>23</v>
      </c>
      <c r="R190" s="26" t="str">
        <f aca="false">LEFT(N190,O190-1)</f>
        <v>Clothing</v>
      </c>
      <c r="S190" s="26" t="str">
        <f aca="false">MID(N190,O190+1,P190-O190-1)</f>
        <v>David</v>
      </c>
      <c r="T190" s="26" t="str">
        <f aca="false">MID(N190,P190+1,Q190-P190-1)</f>
        <v>2017108</v>
      </c>
      <c r="U190" s="26" t="n">
        <f aca="false">VALUE(MID(N190,Q190+2,90))</f>
        <v>1631</v>
      </c>
      <c r="V190" s="27" t="n">
        <f aca="false">DATE(2017,10,MID(T190,7,2))</f>
        <v>43016</v>
      </c>
    </row>
    <row r="191" customFormat="false" ht="14.25" hidden="false" customHeight="false" outlineLevel="0" collapsed="false">
      <c r="A191" s="23" t="n">
        <f aca="false">A190+1</f>
        <v>187</v>
      </c>
      <c r="B191" s="14" t="s">
        <v>205</v>
      </c>
      <c r="C191" s="21" t="n">
        <f aca="false">CODE(RIGHT(B191,1))</f>
        <v>31</v>
      </c>
      <c r="D191" s="14" t="str">
        <f aca="false">CLEAN(B191)</f>
        <v>////PR:Games_SP:Barney2017104 $0  </v>
      </c>
      <c r="E191" s="21" t="n">
        <f aca="false">CODE(RIGHT(D191,1))</f>
        <v>32</v>
      </c>
      <c r="F191" s="14" t="str">
        <f aca="false">SUBSTITUTE(D191,_xlfn.UNICHAR(160)," ")</f>
        <v>////PR:Games_SP:Barney2017104 $0  </v>
      </c>
      <c r="G191" s="14" t="str">
        <f aca="false">SUBSTITUTE(F191,"/","")</f>
        <v>PR:Games_SP:Barney2017104 $0  </v>
      </c>
      <c r="H191" s="14" t="str">
        <f aca="false">SUBSTITUTE(G191,"_"," ")</f>
        <v>PR:Games SP:Barney2017104 $0  </v>
      </c>
      <c r="I191" s="14" t="str">
        <f aca="false">TRIM(H191)</f>
        <v>PR:Games SP:Barney2017104 $0</v>
      </c>
      <c r="J191" s="21" t="n">
        <f aca="false">LEN(I191)</f>
        <v>28</v>
      </c>
      <c r="K191" s="21" t="n">
        <f aca="false">CODE(RIGHT(I191,1))</f>
        <v>48</v>
      </c>
      <c r="L191" s="14" t="str">
        <f aca="false">SUBSTITUTE(I191,"PR:","")</f>
        <v>Games SP:Barney2017104 $0</v>
      </c>
      <c r="M191" s="14" t="str">
        <f aca="false">SUBSTITUTE(L191,"SP:","")</f>
        <v>Games Barney2017104 $0</v>
      </c>
      <c r="N191" s="15" t="str">
        <f aca="false">SUBSTITUTE(M191,"201710"," 201710")</f>
        <v>Games Barney 2017104 $0</v>
      </c>
      <c r="O191" s="21" t="n">
        <f aca="false">FIND(" ",N191)</f>
        <v>6</v>
      </c>
      <c r="P191" s="21" t="n">
        <f aca="false">FIND(" ",N191,O191+1)</f>
        <v>13</v>
      </c>
      <c r="Q191" s="21" t="n">
        <f aca="false">FIND(" ",N191,P191+1)</f>
        <v>21</v>
      </c>
      <c r="R191" s="26" t="str">
        <f aca="false">LEFT(N191,O191-1)</f>
        <v>Games</v>
      </c>
      <c r="S191" s="26" t="str">
        <f aca="false">MID(N191,O191+1,P191-O191-1)</f>
        <v>Barney</v>
      </c>
      <c r="T191" s="26" t="str">
        <f aca="false">MID(N191,P191+1,Q191-P191-1)</f>
        <v>2017104</v>
      </c>
      <c r="U191" s="26" t="n">
        <f aca="false">VALUE(MID(N191,Q191+2,90))</f>
        <v>0</v>
      </c>
      <c r="V191" s="27" t="n">
        <f aca="false">DATE(2017,10,MID(T191,7,2))</f>
        <v>43012</v>
      </c>
    </row>
    <row r="192" customFormat="false" ht="14.25" hidden="false" customHeight="false" outlineLevel="0" collapsed="false">
      <c r="A192" s="23" t="n">
        <f aca="false">A191+1</f>
        <v>188</v>
      </c>
      <c r="B192" s="14" t="s">
        <v>206</v>
      </c>
      <c r="C192" s="21" t="n">
        <f aca="false">CODE(RIGHT(B192,1))</f>
        <v>29</v>
      </c>
      <c r="D192" s="14" t="str">
        <f aca="false">CLEAN(B192)</f>
        <v>////PR:Games__SP:David20171021     $1916   </v>
      </c>
      <c r="E192" s="21" t="n">
        <f aca="false">CODE(RIGHT(D192,1))</f>
        <v>32</v>
      </c>
      <c r="F192" s="14" t="str">
        <f aca="false">SUBSTITUTE(D192,_xlfn.UNICHAR(160)," ")</f>
        <v>////PR:Games__SP:David20171021     $1916   </v>
      </c>
      <c r="G192" s="14" t="str">
        <f aca="false">SUBSTITUTE(F192,"/","")</f>
        <v>PR:Games__SP:David20171021     $1916   </v>
      </c>
      <c r="H192" s="14" t="str">
        <f aca="false">SUBSTITUTE(G192,"_"," ")</f>
        <v>PR:Games  SP:David20171021     $1916   </v>
      </c>
      <c r="I192" s="14" t="str">
        <f aca="false">TRIM(H192)</f>
        <v>PR:Games SP:David20171021 $1916</v>
      </c>
      <c r="J192" s="21" t="n">
        <f aca="false">LEN(I192)</f>
        <v>31</v>
      </c>
      <c r="K192" s="21" t="n">
        <f aca="false">CODE(RIGHT(I192,1))</f>
        <v>54</v>
      </c>
      <c r="L192" s="14" t="str">
        <f aca="false">SUBSTITUTE(I192,"PR:","")</f>
        <v>Games SP:David20171021 $1916</v>
      </c>
      <c r="M192" s="14" t="str">
        <f aca="false">SUBSTITUTE(L192,"SP:","")</f>
        <v>Games David20171021 $1916</v>
      </c>
      <c r="N192" s="15" t="str">
        <f aca="false">SUBSTITUTE(M192,"201710"," 201710")</f>
        <v>Games David 20171021 $1916</v>
      </c>
      <c r="O192" s="21" t="n">
        <f aca="false">FIND(" ",N192)</f>
        <v>6</v>
      </c>
      <c r="P192" s="21" t="n">
        <f aca="false">FIND(" ",N192,O192+1)</f>
        <v>12</v>
      </c>
      <c r="Q192" s="21" t="n">
        <f aca="false">FIND(" ",N192,P192+1)</f>
        <v>21</v>
      </c>
      <c r="R192" s="26" t="str">
        <f aca="false">LEFT(N192,O192-1)</f>
        <v>Games</v>
      </c>
      <c r="S192" s="26" t="str">
        <f aca="false">MID(N192,O192+1,P192-O192-1)</f>
        <v>David</v>
      </c>
      <c r="T192" s="26" t="str">
        <f aca="false">MID(N192,P192+1,Q192-P192-1)</f>
        <v>20171021</v>
      </c>
      <c r="U192" s="26" t="n">
        <f aca="false">VALUE(MID(N192,Q192+2,90))</f>
        <v>1916</v>
      </c>
      <c r="V192" s="27" t="n">
        <f aca="false">DATE(2017,10,MID(T192,7,2))</f>
        <v>43029</v>
      </c>
    </row>
    <row r="193" customFormat="false" ht="14.25" hidden="false" customHeight="false" outlineLevel="0" collapsed="false">
      <c r="A193" s="23" t="n">
        <f aca="false">A192+1</f>
        <v>189</v>
      </c>
      <c r="B193" s="14" t="s">
        <v>207</v>
      </c>
      <c r="C193" s="21" t="n">
        <f aca="false">CODE(RIGHT(B193,1))</f>
        <v>31</v>
      </c>
      <c r="D193" s="14" t="str">
        <f aca="false">CLEAN(B193)</f>
        <v>/PR:Games_SP:Alice2017106   $2406 </v>
      </c>
      <c r="E193" s="21" t="n">
        <f aca="false">CODE(RIGHT(D193,1))</f>
        <v>32</v>
      </c>
      <c r="F193" s="14" t="str">
        <f aca="false">SUBSTITUTE(D193,_xlfn.UNICHAR(160)," ")</f>
        <v>/PR:Games_SP:Alice2017106   $2406 </v>
      </c>
      <c r="G193" s="14" t="str">
        <f aca="false">SUBSTITUTE(F193,"/","")</f>
        <v>PR:Games_SP:Alice2017106   $2406 </v>
      </c>
      <c r="H193" s="14" t="str">
        <f aca="false">SUBSTITUTE(G193,"_"," ")</f>
        <v>PR:Games SP:Alice2017106   $2406 </v>
      </c>
      <c r="I193" s="14" t="str">
        <f aca="false">TRIM(H193)</f>
        <v>PR:Games SP:Alice2017106 $2406</v>
      </c>
      <c r="J193" s="21" t="n">
        <f aca="false">LEN(I193)</f>
        <v>30</v>
      </c>
      <c r="K193" s="21" t="n">
        <f aca="false">CODE(RIGHT(I193,1))</f>
        <v>54</v>
      </c>
      <c r="L193" s="14" t="str">
        <f aca="false">SUBSTITUTE(I193,"PR:","")</f>
        <v>Games SP:Alice2017106 $2406</v>
      </c>
      <c r="M193" s="14" t="str">
        <f aca="false">SUBSTITUTE(L193,"SP:","")</f>
        <v>Games Alice2017106 $2406</v>
      </c>
      <c r="N193" s="15" t="str">
        <f aca="false">SUBSTITUTE(M193,"201710"," 201710")</f>
        <v>Games Alice 2017106 $2406</v>
      </c>
      <c r="O193" s="21" t="n">
        <f aca="false">FIND(" ",N193)</f>
        <v>6</v>
      </c>
      <c r="P193" s="21" t="n">
        <f aca="false">FIND(" ",N193,O193+1)</f>
        <v>12</v>
      </c>
      <c r="Q193" s="21" t="n">
        <f aca="false">FIND(" ",N193,P193+1)</f>
        <v>20</v>
      </c>
      <c r="R193" s="26" t="str">
        <f aca="false">LEFT(N193,O193-1)</f>
        <v>Games</v>
      </c>
      <c r="S193" s="26" t="str">
        <f aca="false">MID(N193,O193+1,P193-O193-1)</f>
        <v>Alice</v>
      </c>
      <c r="T193" s="26" t="str">
        <f aca="false">MID(N193,P193+1,Q193-P193-1)</f>
        <v>2017106</v>
      </c>
      <c r="U193" s="26" t="n">
        <f aca="false">VALUE(MID(N193,Q193+2,90))</f>
        <v>2406</v>
      </c>
      <c r="V193" s="27" t="n">
        <f aca="false">DATE(2017,10,MID(T193,7,2))</f>
        <v>43014</v>
      </c>
    </row>
    <row r="194" customFormat="false" ht="14.25" hidden="false" customHeight="false" outlineLevel="0" collapsed="false">
      <c r="A194" s="23" t="n">
        <f aca="false">A193+1</f>
        <v>190</v>
      </c>
      <c r="B194" s="14" t="s">
        <v>208</v>
      </c>
      <c r="C194" s="21" t="n">
        <f aca="false">CODE(RIGHT(B194,1))</f>
        <v>29</v>
      </c>
      <c r="D194" s="14" t="str">
        <f aca="false">CLEAN(B194)</f>
        <v>/////PR:Games____SP:Carol20171012    $1878   </v>
      </c>
      <c r="E194" s="21" t="n">
        <f aca="false">CODE(RIGHT(D194,1))</f>
        <v>32</v>
      </c>
      <c r="F194" s="14" t="str">
        <f aca="false">SUBSTITUTE(D194,_xlfn.UNICHAR(160)," ")</f>
        <v>/////PR:Games____SP:Carol20171012    $1878   </v>
      </c>
      <c r="G194" s="14" t="str">
        <f aca="false">SUBSTITUTE(F194,"/","")</f>
        <v>PR:Games____SP:Carol20171012    $1878   </v>
      </c>
      <c r="H194" s="14" t="str">
        <f aca="false">SUBSTITUTE(G194,"_"," ")</f>
        <v>PR:Games    SP:Carol20171012    $1878   </v>
      </c>
      <c r="I194" s="14" t="str">
        <f aca="false">TRIM(H194)</f>
        <v>PR:Games SP:Carol20171012 $1878</v>
      </c>
      <c r="J194" s="21" t="n">
        <f aca="false">LEN(I194)</f>
        <v>31</v>
      </c>
      <c r="K194" s="21" t="n">
        <f aca="false">CODE(RIGHT(I194,1))</f>
        <v>56</v>
      </c>
      <c r="L194" s="14" t="str">
        <f aca="false">SUBSTITUTE(I194,"PR:","")</f>
        <v>Games SP:Carol20171012 $1878</v>
      </c>
      <c r="M194" s="14" t="str">
        <f aca="false">SUBSTITUTE(L194,"SP:","")</f>
        <v>Games Carol20171012 $1878</v>
      </c>
      <c r="N194" s="15" t="str">
        <f aca="false">SUBSTITUTE(M194,"201710"," 201710")</f>
        <v>Games Carol 20171012 $1878</v>
      </c>
      <c r="O194" s="21" t="n">
        <f aca="false">FIND(" ",N194)</f>
        <v>6</v>
      </c>
      <c r="P194" s="21" t="n">
        <f aca="false">FIND(" ",N194,O194+1)</f>
        <v>12</v>
      </c>
      <c r="Q194" s="21" t="n">
        <f aca="false">FIND(" ",N194,P194+1)</f>
        <v>21</v>
      </c>
      <c r="R194" s="26" t="str">
        <f aca="false">LEFT(N194,O194-1)</f>
        <v>Games</v>
      </c>
      <c r="S194" s="26" t="str">
        <f aca="false">MID(N194,O194+1,P194-O194-1)</f>
        <v>Carol</v>
      </c>
      <c r="T194" s="26" t="str">
        <f aca="false">MID(N194,P194+1,Q194-P194-1)</f>
        <v>20171012</v>
      </c>
      <c r="U194" s="26" t="n">
        <f aca="false">VALUE(MID(N194,Q194+2,90))</f>
        <v>1878</v>
      </c>
      <c r="V194" s="27" t="n">
        <f aca="false">DATE(2017,10,MID(T194,7,2))</f>
        <v>43020</v>
      </c>
    </row>
    <row r="195" customFormat="false" ht="14.25" hidden="false" customHeight="false" outlineLevel="0" collapsed="false">
      <c r="A195" s="23" t="n">
        <f aca="false">A194+1</f>
        <v>191</v>
      </c>
      <c r="B195" s="14" t="s">
        <v>209</v>
      </c>
      <c r="C195" s="21" t="n">
        <f aca="false">CODE(RIGHT(B195,1))</f>
        <v>29</v>
      </c>
      <c r="D195" s="14" t="str">
        <f aca="false">CLEAN(B195)</f>
        <v>////PR:Games____SP:David20171019 $0     </v>
      </c>
      <c r="E195" s="21" t="n">
        <f aca="false">CODE(RIGHT(D195,1))</f>
        <v>32</v>
      </c>
      <c r="F195" s="14" t="str">
        <f aca="false">SUBSTITUTE(D195,_xlfn.UNICHAR(160)," ")</f>
        <v>////PR:Games____SP:David20171019 $0     </v>
      </c>
      <c r="G195" s="14" t="str">
        <f aca="false">SUBSTITUTE(F195,"/","")</f>
        <v>PR:Games____SP:David20171019 $0     </v>
      </c>
      <c r="H195" s="14" t="str">
        <f aca="false">SUBSTITUTE(G195,"_"," ")</f>
        <v>PR:Games    SP:David20171019 $0     </v>
      </c>
      <c r="I195" s="14" t="str">
        <f aca="false">TRIM(H195)</f>
        <v>PR:Games SP:David20171019 $0</v>
      </c>
      <c r="J195" s="21" t="n">
        <f aca="false">LEN(I195)</f>
        <v>28</v>
      </c>
      <c r="K195" s="21" t="n">
        <f aca="false">CODE(RIGHT(I195,1))</f>
        <v>48</v>
      </c>
      <c r="L195" s="14" t="str">
        <f aca="false">SUBSTITUTE(I195,"PR:","")</f>
        <v>Games SP:David20171019 $0</v>
      </c>
      <c r="M195" s="14" t="str">
        <f aca="false">SUBSTITUTE(L195,"SP:","")</f>
        <v>Games David20171019 $0</v>
      </c>
      <c r="N195" s="15" t="str">
        <f aca="false">SUBSTITUTE(M195,"201710"," 201710")</f>
        <v>Games David 20171019 $0</v>
      </c>
      <c r="O195" s="21" t="n">
        <f aca="false">FIND(" ",N195)</f>
        <v>6</v>
      </c>
      <c r="P195" s="21" t="n">
        <f aca="false">FIND(" ",N195,O195+1)</f>
        <v>12</v>
      </c>
      <c r="Q195" s="21" t="n">
        <f aca="false">FIND(" ",N195,P195+1)</f>
        <v>21</v>
      </c>
      <c r="R195" s="26" t="str">
        <f aca="false">LEFT(N195,O195-1)</f>
        <v>Games</v>
      </c>
      <c r="S195" s="26" t="str">
        <f aca="false">MID(N195,O195+1,P195-O195-1)</f>
        <v>David</v>
      </c>
      <c r="T195" s="26" t="str">
        <f aca="false">MID(N195,P195+1,Q195-P195-1)</f>
        <v>20171019</v>
      </c>
      <c r="U195" s="26" t="n">
        <f aca="false">VALUE(MID(N195,Q195+2,90))</f>
        <v>0</v>
      </c>
      <c r="V195" s="27" t="n">
        <f aca="false">DATE(2017,10,MID(T195,7,2))</f>
        <v>43027</v>
      </c>
    </row>
    <row r="196" customFormat="false" ht="14.25" hidden="false" customHeight="false" outlineLevel="0" collapsed="false">
      <c r="A196" s="23" t="n">
        <f aca="false">A195+1</f>
        <v>192</v>
      </c>
      <c r="B196" s="14" t="s">
        <v>210</v>
      </c>
      <c r="C196" s="21" t="n">
        <f aca="false">CODE(RIGHT(B196,1))</f>
        <v>29</v>
      </c>
      <c r="D196" s="14" t="str">
        <f aca="false">CLEAN(B196)</f>
        <v>/////PR:Music__SP:Carol20171015    $1360   </v>
      </c>
      <c r="E196" s="21" t="n">
        <f aca="false">CODE(RIGHT(D196,1))</f>
        <v>32</v>
      </c>
      <c r="F196" s="14" t="str">
        <f aca="false">SUBSTITUTE(D196,_xlfn.UNICHAR(160)," ")</f>
        <v>/////PR:Music__SP:Carol20171015    $1360   </v>
      </c>
      <c r="G196" s="14" t="str">
        <f aca="false">SUBSTITUTE(F196,"/","")</f>
        <v>PR:Music__SP:Carol20171015    $1360   </v>
      </c>
      <c r="H196" s="14" t="str">
        <f aca="false">SUBSTITUTE(G196,"_"," ")</f>
        <v>PR:Music  SP:Carol20171015    $1360   </v>
      </c>
      <c r="I196" s="14" t="str">
        <f aca="false">TRIM(H196)</f>
        <v>PR:Music SP:Carol20171015 $1360</v>
      </c>
      <c r="J196" s="21" t="n">
        <f aca="false">LEN(I196)</f>
        <v>31</v>
      </c>
      <c r="K196" s="21" t="n">
        <f aca="false">CODE(RIGHT(I196,1))</f>
        <v>48</v>
      </c>
      <c r="L196" s="14" t="str">
        <f aca="false">SUBSTITUTE(I196,"PR:","")</f>
        <v>Music SP:Carol20171015 $1360</v>
      </c>
      <c r="M196" s="14" t="str">
        <f aca="false">SUBSTITUTE(L196,"SP:","")</f>
        <v>Music Carol20171015 $1360</v>
      </c>
      <c r="N196" s="15" t="str">
        <f aca="false">SUBSTITUTE(M196,"201710"," 201710")</f>
        <v>Music Carol 20171015 $1360</v>
      </c>
      <c r="O196" s="21" t="n">
        <f aca="false">FIND(" ",N196)</f>
        <v>6</v>
      </c>
      <c r="P196" s="21" t="n">
        <f aca="false">FIND(" ",N196,O196+1)</f>
        <v>12</v>
      </c>
      <c r="Q196" s="21" t="n">
        <f aca="false">FIND(" ",N196,P196+1)</f>
        <v>21</v>
      </c>
      <c r="R196" s="26" t="str">
        <f aca="false">LEFT(N196,O196-1)</f>
        <v>Music</v>
      </c>
      <c r="S196" s="26" t="str">
        <f aca="false">MID(N196,O196+1,P196-O196-1)</f>
        <v>Carol</v>
      </c>
      <c r="T196" s="26" t="str">
        <f aca="false">MID(N196,P196+1,Q196-P196-1)</f>
        <v>20171015</v>
      </c>
      <c r="U196" s="26" t="n">
        <f aca="false">VALUE(MID(N196,Q196+2,90))</f>
        <v>1360</v>
      </c>
      <c r="V196" s="27" t="n">
        <f aca="false">DATE(2017,10,MID(T196,7,2))</f>
        <v>43023</v>
      </c>
    </row>
    <row r="197" customFormat="false" ht="14.25" hidden="false" customHeight="false" outlineLevel="0" collapsed="false">
      <c r="A197" s="23" t="n">
        <f aca="false">A196+1</f>
        <v>193</v>
      </c>
      <c r="B197" s="14" t="s">
        <v>211</v>
      </c>
      <c r="C197" s="21" t="n">
        <f aca="false">CODE(RIGHT(B197,1))</f>
        <v>28</v>
      </c>
      <c r="D197" s="14" t="str">
        <f aca="false">CLEAN(B197)</f>
        <v>/PR:Music____SP:Carol20171014     $0  </v>
      </c>
      <c r="E197" s="21" t="n">
        <f aca="false">CODE(RIGHT(D197,1))</f>
        <v>32</v>
      </c>
      <c r="F197" s="14" t="str">
        <f aca="false">SUBSTITUTE(D197,_xlfn.UNICHAR(160)," ")</f>
        <v>/PR:Music____SP:Carol20171014     $0  </v>
      </c>
      <c r="G197" s="14" t="str">
        <f aca="false">SUBSTITUTE(F197,"/","")</f>
        <v>PR:Music____SP:Carol20171014     $0  </v>
      </c>
      <c r="H197" s="14" t="str">
        <f aca="false">SUBSTITUTE(G197,"_"," ")</f>
        <v>PR:Music    SP:Carol20171014     $0  </v>
      </c>
      <c r="I197" s="14" t="str">
        <f aca="false">TRIM(H197)</f>
        <v>PR:Music SP:Carol20171014 $0</v>
      </c>
      <c r="J197" s="21" t="n">
        <f aca="false">LEN(I197)</f>
        <v>28</v>
      </c>
      <c r="K197" s="21" t="n">
        <f aca="false">CODE(RIGHT(I197,1))</f>
        <v>48</v>
      </c>
      <c r="L197" s="14" t="str">
        <f aca="false">SUBSTITUTE(I197,"PR:","")</f>
        <v>Music SP:Carol20171014 $0</v>
      </c>
      <c r="M197" s="14" t="str">
        <f aca="false">SUBSTITUTE(L197,"SP:","")</f>
        <v>Music Carol20171014 $0</v>
      </c>
      <c r="N197" s="15" t="str">
        <f aca="false">SUBSTITUTE(M197,"201710"," 201710")</f>
        <v>Music Carol 20171014 $0</v>
      </c>
      <c r="O197" s="21" t="n">
        <f aca="false">FIND(" ",N197)</f>
        <v>6</v>
      </c>
      <c r="P197" s="21" t="n">
        <f aca="false">FIND(" ",N197,O197+1)</f>
        <v>12</v>
      </c>
      <c r="Q197" s="21" t="n">
        <f aca="false">FIND(" ",N197,P197+1)</f>
        <v>21</v>
      </c>
      <c r="R197" s="26" t="str">
        <f aca="false">LEFT(N197,O197-1)</f>
        <v>Music</v>
      </c>
      <c r="S197" s="26" t="str">
        <f aca="false">MID(N197,O197+1,P197-O197-1)</f>
        <v>Carol</v>
      </c>
      <c r="T197" s="26" t="str">
        <f aca="false">MID(N197,P197+1,Q197-P197-1)</f>
        <v>20171014</v>
      </c>
      <c r="U197" s="26" t="n">
        <f aca="false">VALUE(MID(N197,Q197+2,90))</f>
        <v>0</v>
      </c>
      <c r="V197" s="27" t="n">
        <f aca="false">DATE(2017,10,MID(T197,7,2))</f>
        <v>43022</v>
      </c>
    </row>
    <row r="198" customFormat="false" ht="14.25" hidden="false" customHeight="false" outlineLevel="0" collapsed="false">
      <c r="A198" s="23" t="n">
        <f aca="false">A197+1</f>
        <v>194</v>
      </c>
      <c r="B198" s="14" t="s">
        <v>212</v>
      </c>
      <c r="C198" s="21" t="n">
        <f aca="false">CODE(RIGHT(B198,1))</f>
        <v>30</v>
      </c>
      <c r="D198" s="14" t="str">
        <f aca="false">CLEAN(B198)</f>
        <v>//PR:Books_____SP:Barney2017105   $844   </v>
      </c>
      <c r="E198" s="21" t="n">
        <f aca="false">CODE(RIGHT(D198,1))</f>
        <v>32</v>
      </c>
      <c r="F198" s="14" t="str">
        <f aca="false">SUBSTITUTE(D198,_xlfn.UNICHAR(160)," ")</f>
        <v>//PR:Books_____SP:Barney2017105   $844   </v>
      </c>
      <c r="G198" s="14" t="str">
        <f aca="false">SUBSTITUTE(F198,"/","")</f>
        <v>PR:Books_____SP:Barney2017105   $844   </v>
      </c>
      <c r="H198" s="14" t="str">
        <f aca="false">SUBSTITUTE(G198,"_"," ")</f>
        <v>PR:Books     SP:Barney2017105   $844   </v>
      </c>
      <c r="I198" s="14" t="str">
        <f aca="false">TRIM(H198)</f>
        <v>PR:Books SP:Barney2017105 $844</v>
      </c>
      <c r="J198" s="21" t="n">
        <f aca="false">LEN(I198)</f>
        <v>30</v>
      </c>
      <c r="K198" s="21" t="n">
        <f aca="false">CODE(RIGHT(I198,1))</f>
        <v>52</v>
      </c>
      <c r="L198" s="14" t="str">
        <f aca="false">SUBSTITUTE(I198,"PR:","")</f>
        <v>Books SP:Barney2017105 $844</v>
      </c>
      <c r="M198" s="14" t="str">
        <f aca="false">SUBSTITUTE(L198,"SP:","")</f>
        <v>Books Barney2017105 $844</v>
      </c>
      <c r="N198" s="15" t="str">
        <f aca="false">SUBSTITUTE(M198,"201710"," 201710")</f>
        <v>Books Barney 2017105 $844</v>
      </c>
      <c r="O198" s="21" t="n">
        <f aca="false">FIND(" ",N198)</f>
        <v>6</v>
      </c>
      <c r="P198" s="21" t="n">
        <f aca="false">FIND(" ",N198,O198+1)</f>
        <v>13</v>
      </c>
      <c r="Q198" s="21" t="n">
        <f aca="false">FIND(" ",N198,P198+1)</f>
        <v>21</v>
      </c>
      <c r="R198" s="26" t="str">
        <f aca="false">LEFT(N198,O198-1)</f>
        <v>Books</v>
      </c>
      <c r="S198" s="26" t="str">
        <f aca="false">MID(N198,O198+1,P198-O198-1)</f>
        <v>Barney</v>
      </c>
      <c r="T198" s="26" t="str">
        <f aca="false">MID(N198,P198+1,Q198-P198-1)</f>
        <v>2017105</v>
      </c>
      <c r="U198" s="26" t="n">
        <f aca="false">VALUE(MID(N198,Q198+2,90))</f>
        <v>844</v>
      </c>
      <c r="V198" s="27" t="n">
        <f aca="false">DATE(2017,10,MID(T198,7,2))</f>
        <v>43013</v>
      </c>
    </row>
    <row r="199" customFormat="false" ht="14.25" hidden="false" customHeight="false" outlineLevel="0" collapsed="false">
      <c r="A199" s="23" t="n">
        <f aca="false">A198+1</f>
        <v>195</v>
      </c>
      <c r="B199" s="14" t="s">
        <v>213</v>
      </c>
      <c r="C199" s="21" t="n">
        <f aca="false">CODE(RIGHT(B199,1))</f>
        <v>28</v>
      </c>
      <c r="D199" s="14" t="str">
        <f aca="false">CLEAN(B199)</f>
        <v>/////PR:Clothing__SP:David20171020  $1172     </v>
      </c>
      <c r="E199" s="21" t="n">
        <f aca="false">CODE(RIGHT(D199,1))</f>
        <v>32</v>
      </c>
      <c r="F199" s="14" t="str">
        <f aca="false">SUBSTITUTE(D199,_xlfn.UNICHAR(160)," ")</f>
        <v>/////PR:Clothing__SP:David20171020  $1172     </v>
      </c>
      <c r="G199" s="14" t="str">
        <f aca="false">SUBSTITUTE(F199,"/","")</f>
        <v>PR:Clothing__SP:David20171020  $1172     </v>
      </c>
      <c r="H199" s="14" t="str">
        <f aca="false">SUBSTITUTE(G199,"_"," ")</f>
        <v>PR:Clothing  SP:David20171020  $1172     </v>
      </c>
      <c r="I199" s="14" t="str">
        <f aca="false">TRIM(H199)</f>
        <v>PR:Clothing SP:David20171020 $1172</v>
      </c>
      <c r="J199" s="21" t="n">
        <f aca="false">LEN(I199)</f>
        <v>34</v>
      </c>
      <c r="K199" s="21" t="n">
        <f aca="false">CODE(RIGHT(I199,1))</f>
        <v>50</v>
      </c>
      <c r="L199" s="14" t="str">
        <f aca="false">SUBSTITUTE(I199,"PR:","")</f>
        <v>Clothing SP:David20171020 $1172</v>
      </c>
      <c r="M199" s="14" t="str">
        <f aca="false">SUBSTITUTE(L199,"SP:","")</f>
        <v>Clothing David20171020 $1172</v>
      </c>
      <c r="N199" s="15" t="str">
        <f aca="false">SUBSTITUTE(M199,"201710"," 201710")</f>
        <v>Clothing David 20171020 $1172</v>
      </c>
      <c r="O199" s="21" t="n">
        <f aca="false">FIND(" ",N199)</f>
        <v>9</v>
      </c>
      <c r="P199" s="21" t="n">
        <f aca="false">FIND(" ",N199,O199+1)</f>
        <v>15</v>
      </c>
      <c r="Q199" s="21" t="n">
        <f aca="false">FIND(" ",N199,P199+1)</f>
        <v>24</v>
      </c>
      <c r="R199" s="26" t="str">
        <f aca="false">LEFT(N199,O199-1)</f>
        <v>Clothing</v>
      </c>
      <c r="S199" s="26" t="str">
        <f aca="false">MID(N199,O199+1,P199-O199-1)</f>
        <v>David</v>
      </c>
      <c r="T199" s="26" t="str">
        <f aca="false">MID(N199,P199+1,Q199-P199-1)</f>
        <v>20171020</v>
      </c>
      <c r="U199" s="26" t="n">
        <f aca="false">VALUE(MID(N199,Q199+2,90))</f>
        <v>1172</v>
      </c>
      <c r="V199" s="27" t="n">
        <f aca="false">DATE(2017,10,MID(T199,7,2))</f>
        <v>43028</v>
      </c>
    </row>
    <row r="200" customFormat="false" ht="14.25" hidden="false" customHeight="false" outlineLevel="0" collapsed="false">
      <c r="A200" s="23" t="n">
        <f aca="false">A199+1</f>
        <v>196</v>
      </c>
      <c r="B200" s="14" t="s">
        <v>214</v>
      </c>
      <c r="C200" s="21" t="n">
        <f aca="false">CODE(RIGHT(B200,1))</f>
        <v>29</v>
      </c>
      <c r="D200" s="14" t="str">
        <f aca="false">CLEAN(B200)</f>
        <v>///PR:Books____SP:Alice20171030 $0    </v>
      </c>
      <c r="E200" s="21" t="n">
        <f aca="false">CODE(RIGHT(D200,1))</f>
        <v>32</v>
      </c>
      <c r="F200" s="14" t="str">
        <f aca="false">SUBSTITUTE(D200,_xlfn.UNICHAR(160)," ")</f>
        <v>///PR:Books____SP:Alice20171030 $0    </v>
      </c>
      <c r="G200" s="14" t="str">
        <f aca="false">SUBSTITUTE(F200,"/","")</f>
        <v>PR:Books____SP:Alice20171030 $0    </v>
      </c>
      <c r="H200" s="14" t="str">
        <f aca="false">SUBSTITUTE(G200,"_"," ")</f>
        <v>PR:Books    SP:Alice20171030 $0    </v>
      </c>
      <c r="I200" s="14" t="str">
        <f aca="false">TRIM(H200)</f>
        <v>PR:Books SP:Alice20171030 $0</v>
      </c>
      <c r="J200" s="21" t="n">
        <f aca="false">LEN(I200)</f>
        <v>28</v>
      </c>
      <c r="K200" s="21" t="n">
        <f aca="false">CODE(RIGHT(I200,1))</f>
        <v>48</v>
      </c>
      <c r="L200" s="14" t="str">
        <f aca="false">SUBSTITUTE(I200,"PR:","")</f>
        <v>Books SP:Alice20171030 $0</v>
      </c>
      <c r="M200" s="14" t="str">
        <f aca="false">SUBSTITUTE(L200,"SP:","")</f>
        <v>Books Alice20171030 $0</v>
      </c>
      <c r="N200" s="15" t="str">
        <f aca="false">SUBSTITUTE(M200,"201710"," 201710")</f>
        <v>Books Alice 20171030 $0</v>
      </c>
      <c r="O200" s="21" t="n">
        <f aca="false">FIND(" ",N200)</f>
        <v>6</v>
      </c>
      <c r="P200" s="21" t="n">
        <f aca="false">FIND(" ",N200,O200+1)</f>
        <v>12</v>
      </c>
      <c r="Q200" s="21" t="n">
        <f aca="false">FIND(" ",N200,P200+1)</f>
        <v>21</v>
      </c>
      <c r="R200" s="26" t="str">
        <f aca="false">LEFT(N200,O200-1)</f>
        <v>Books</v>
      </c>
      <c r="S200" s="26" t="str">
        <f aca="false">MID(N200,O200+1,P200-O200-1)</f>
        <v>Alice</v>
      </c>
      <c r="T200" s="26" t="str">
        <f aca="false">MID(N200,P200+1,Q200-P200-1)</f>
        <v>20171030</v>
      </c>
      <c r="U200" s="26" t="n">
        <f aca="false">VALUE(MID(N200,Q200+2,90))</f>
        <v>0</v>
      </c>
      <c r="V200" s="27" t="n">
        <f aca="false">DATE(2017,10,MID(T200,7,2))</f>
        <v>43038</v>
      </c>
    </row>
    <row r="201" customFormat="false" ht="14.25" hidden="false" customHeight="false" outlineLevel="0" collapsed="false">
      <c r="A201" s="23" t="n">
        <f aca="false">A200+1</f>
        <v>197</v>
      </c>
      <c r="B201" s="14" t="s">
        <v>215</v>
      </c>
      <c r="C201" s="21" t="n">
        <f aca="false">CODE(RIGHT(B201,1))</f>
        <v>30</v>
      </c>
      <c r="D201" s="14" t="str">
        <f aca="false">CLEAN(B201)</f>
        <v>/PR:Music___SP:Alice2017107    $924 </v>
      </c>
      <c r="E201" s="21" t="n">
        <f aca="false">CODE(RIGHT(D201,1))</f>
        <v>32</v>
      </c>
      <c r="F201" s="14" t="str">
        <f aca="false">SUBSTITUTE(D201,_xlfn.UNICHAR(160)," ")</f>
        <v>/PR:Music___SP:Alice2017107    $924 </v>
      </c>
      <c r="G201" s="14" t="str">
        <f aca="false">SUBSTITUTE(F201,"/","")</f>
        <v>PR:Music___SP:Alice2017107    $924 </v>
      </c>
      <c r="H201" s="14" t="str">
        <f aca="false">SUBSTITUTE(G201,"_"," ")</f>
        <v>PR:Music   SP:Alice2017107    $924 </v>
      </c>
      <c r="I201" s="14" t="str">
        <f aca="false">TRIM(H201)</f>
        <v>PR:Music SP:Alice2017107 $924</v>
      </c>
      <c r="J201" s="21" t="n">
        <f aca="false">LEN(I201)</f>
        <v>29</v>
      </c>
      <c r="K201" s="21" t="n">
        <f aca="false">CODE(RIGHT(I201,1))</f>
        <v>52</v>
      </c>
      <c r="L201" s="14" t="str">
        <f aca="false">SUBSTITUTE(I201,"PR:","")</f>
        <v>Music SP:Alice2017107 $924</v>
      </c>
      <c r="M201" s="14" t="str">
        <f aca="false">SUBSTITUTE(L201,"SP:","")</f>
        <v>Music Alice2017107 $924</v>
      </c>
      <c r="N201" s="15" t="str">
        <f aca="false">SUBSTITUTE(M201,"201710"," 201710")</f>
        <v>Music Alice 2017107 $924</v>
      </c>
      <c r="O201" s="21" t="n">
        <f aca="false">FIND(" ",N201)</f>
        <v>6</v>
      </c>
      <c r="P201" s="21" t="n">
        <f aca="false">FIND(" ",N201,O201+1)</f>
        <v>12</v>
      </c>
      <c r="Q201" s="21" t="n">
        <f aca="false">FIND(" ",N201,P201+1)</f>
        <v>20</v>
      </c>
      <c r="R201" s="26" t="str">
        <f aca="false">LEFT(N201,O201-1)</f>
        <v>Music</v>
      </c>
      <c r="S201" s="26" t="str">
        <f aca="false">MID(N201,O201+1,P201-O201-1)</f>
        <v>Alice</v>
      </c>
      <c r="T201" s="26" t="str">
        <f aca="false">MID(N201,P201+1,Q201-P201-1)</f>
        <v>2017107</v>
      </c>
      <c r="U201" s="26" t="n">
        <f aca="false">VALUE(MID(N201,Q201+2,90))</f>
        <v>924</v>
      </c>
      <c r="V201" s="27" t="n">
        <f aca="false">DATE(2017,10,MID(T201,7,2))</f>
        <v>43015</v>
      </c>
    </row>
    <row r="202" customFormat="false" ht="14.25" hidden="false" customHeight="false" outlineLevel="0" collapsed="false">
      <c r="A202" s="23" t="n">
        <f aca="false">A201+1</f>
        <v>198</v>
      </c>
      <c r="B202" s="14" t="s">
        <v>216</v>
      </c>
      <c r="C202" s="21" t="n">
        <f aca="false">CODE(RIGHT(B202,1))</f>
        <v>30</v>
      </c>
      <c r="D202" s="14" t="str">
        <f aca="false">CLEAN(B202)</f>
        <v>/////PR:Games__SP:Barney2017102     $2368 </v>
      </c>
      <c r="E202" s="21" t="n">
        <f aca="false">CODE(RIGHT(D202,1))</f>
        <v>32</v>
      </c>
      <c r="F202" s="14" t="str">
        <f aca="false">SUBSTITUTE(D202,_xlfn.UNICHAR(160)," ")</f>
        <v>/////PR:Games__SP:Barney2017102     $2368 </v>
      </c>
      <c r="G202" s="14" t="str">
        <f aca="false">SUBSTITUTE(F202,"/","")</f>
        <v>PR:Games__SP:Barney2017102     $2368 </v>
      </c>
      <c r="H202" s="14" t="str">
        <f aca="false">SUBSTITUTE(G202,"_"," ")</f>
        <v>PR:Games  SP:Barney2017102     $2368 </v>
      </c>
      <c r="I202" s="14" t="str">
        <f aca="false">TRIM(H202)</f>
        <v>PR:Games SP:Barney2017102 $2368</v>
      </c>
      <c r="J202" s="21" t="n">
        <f aca="false">LEN(I202)</f>
        <v>31</v>
      </c>
      <c r="K202" s="21" t="n">
        <f aca="false">CODE(RIGHT(I202,1))</f>
        <v>56</v>
      </c>
      <c r="L202" s="14" t="str">
        <f aca="false">SUBSTITUTE(I202,"PR:","")</f>
        <v>Games SP:Barney2017102 $2368</v>
      </c>
      <c r="M202" s="14" t="str">
        <f aca="false">SUBSTITUTE(L202,"SP:","")</f>
        <v>Games Barney2017102 $2368</v>
      </c>
      <c r="N202" s="15" t="str">
        <f aca="false">SUBSTITUTE(M202,"201710"," 201710")</f>
        <v>Games Barney 2017102 $2368</v>
      </c>
      <c r="O202" s="21" t="n">
        <f aca="false">FIND(" ",N202)</f>
        <v>6</v>
      </c>
      <c r="P202" s="21" t="n">
        <f aca="false">FIND(" ",N202,O202+1)</f>
        <v>13</v>
      </c>
      <c r="Q202" s="21" t="n">
        <f aca="false">FIND(" ",N202,P202+1)</f>
        <v>21</v>
      </c>
      <c r="R202" s="26" t="str">
        <f aca="false">LEFT(N202,O202-1)</f>
        <v>Games</v>
      </c>
      <c r="S202" s="26" t="str">
        <f aca="false">MID(N202,O202+1,P202-O202-1)</f>
        <v>Barney</v>
      </c>
      <c r="T202" s="26" t="str">
        <f aca="false">MID(N202,P202+1,Q202-P202-1)</f>
        <v>2017102</v>
      </c>
      <c r="U202" s="26" t="n">
        <f aca="false">VALUE(MID(N202,Q202+2,90))</f>
        <v>2368</v>
      </c>
      <c r="V202" s="27" t="n">
        <f aca="false">DATE(2017,10,MID(T202,7,2))</f>
        <v>43010</v>
      </c>
    </row>
    <row r="203" customFormat="false" ht="14.25" hidden="false" customHeight="false" outlineLevel="0" collapsed="false">
      <c r="A203" s="23" t="n">
        <f aca="false">A202+1</f>
        <v>199</v>
      </c>
      <c r="B203" s="14" t="s">
        <v>217</v>
      </c>
      <c r="C203" s="21" t="n">
        <f aca="false">CODE(RIGHT(B203,1))</f>
        <v>30</v>
      </c>
      <c r="D203" s="14" t="str">
        <f aca="false">CLEAN(B203)</f>
        <v>////PR:Games____SP:Carol20171018 $1616    </v>
      </c>
      <c r="E203" s="21" t="n">
        <f aca="false">CODE(RIGHT(D203,1))</f>
        <v>32</v>
      </c>
      <c r="F203" s="14" t="str">
        <f aca="false">SUBSTITUTE(D203,_xlfn.UNICHAR(160)," ")</f>
        <v>////PR:Games____SP:Carol20171018 $1616    </v>
      </c>
      <c r="G203" s="14" t="str">
        <f aca="false">SUBSTITUTE(F203,"/","")</f>
        <v>PR:Games____SP:Carol20171018 $1616    </v>
      </c>
      <c r="H203" s="14" t="str">
        <f aca="false">SUBSTITUTE(G203,"_"," ")</f>
        <v>PR:Games    SP:Carol20171018 $1616    </v>
      </c>
      <c r="I203" s="14" t="str">
        <f aca="false">TRIM(H203)</f>
        <v>PR:Games SP:Carol20171018 $1616</v>
      </c>
      <c r="J203" s="21" t="n">
        <f aca="false">LEN(I203)</f>
        <v>31</v>
      </c>
      <c r="K203" s="21" t="n">
        <f aca="false">CODE(RIGHT(I203,1))</f>
        <v>54</v>
      </c>
      <c r="L203" s="14" t="str">
        <f aca="false">SUBSTITUTE(I203,"PR:","")</f>
        <v>Games SP:Carol20171018 $1616</v>
      </c>
      <c r="M203" s="14" t="str">
        <f aca="false">SUBSTITUTE(L203,"SP:","")</f>
        <v>Games Carol20171018 $1616</v>
      </c>
      <c r="N203" s="15" t="str">
        <f aca="false">SUBSTITUTE(M203,"201710"," 201710")</f>
        <v>Games Carol 20171018 $1616</v>
      </c>
      <c r="O203" s="21" t="n">
        <f aca="false">FIND(" ",N203)</f>
        <v>6</v>
      </c>
      <c r="P203" s="21" t="n">
        <f aca="false">FIND(" ",N203,O203+1)</f>
        <v>12</v>
      </c>
      <c r="Q203" s="21" t="n">
        <f aca="false">FIND(" ",N203,P203+1)</f>
        <v>21</v>
      </c>
      <c r="R203" s="26" t="str">
        <f aca="false">LEFT(N203,O203-1)</f>
        <v>Games</v>
      </c>
      <c r="S203" s="26" t="str">
        <f aca="false">MID(N203,O203+1,P203-O203-1)</f>
        <v>Carol</v>
      </c>
      <c r="T203" s="26" t="str">
        <f aca="false">MID(N203,P203+1,Q203-P203-1)</f>
        <v>20171018</v>
      </c>
      <c r="U203" s="26" t="n">
        <f aca="false">VALUE(MID(N203,Q203+2,90))</f>
        <v>1616</v>
      </c>
      <c r="V203" s="27" t="n">
        <f aca="false">DATE(2017,10,MID(T203,7,2))</f>
        <v>43026</v>
      </c>
    </row>
    <row r="204" customFormat="false" ht="14.25" hidden="false" customHeight="false" outlineLevel="0" collapsed="false">
      <c r="A204" s="23" t="n">
        <f aca="false">A203+1</f>
        <v>200</v>
      </c>
      <c r="B204" s="14" t="s">
        <v>218</v>
      </c>
      <c r="C204" s="21" t="n">
        <f aca="false">CODE(RIGHT(B204,1))</f>
        <v>29</v>
      </c>
      <c r="D204" s="14" t="str">
        <f aca="false">CLEAN(B204)</f>
        <v>//PR:Music_____SP:David20171012     $1445  </v>
      </c>
      <c r="E204" s="21" t="n">
        <f aca="false">CODE(RIGHT(D204,1))</f>
        <v>32</v>
      </c>
      <c r="F204" s="14" t="str">
        <f aca="false">SUBSTITUTE(D204,_xlfn.UNICHAR(160)," ")</f>
        <v>//PR:Music_____SP:David20171012     $1445  </v>
      </c>
      <c r="G204" s="14" t="str">
        <f aca="false">SUBSTITUTE(F204,"/","")</f>
        <v>PR:Music_____SP:David20171012     $1445  </v>
      </c>
      <c r="H204" s="14" t="str">
        <f aca="false">SUBSTITUTE(G204,"_"," ")</f>
        <v>PR:Music     SP:David20171012     $1445  </v>
      </c>
      <c r="I204" s="14" t="str">
        <f aca="false">TRIM(H204)</f>
        <v>PR:Music SP:David20171012 $1445</v>
      </c>
      <c r="J204" s="21" t="n">
        <f aca="false">LEN(I204)</f>
        <v>31</v>
      </c>
      <c r="K204" s="21" t="n">
        <f aca="false">CODE(RIGHT(I204,1))</f>
        <v>53</v>
      </c>
      <c r="L204" s="14" t="str">
        <f aca="false">SUBSTITUTE(I204,"PR:","")</f>
        <v>Music SP:David20171012 $1445</v>
      </c>
      <c r="M204" s="14" t="str">
        <f aca="false">SUBSTITUTE(L204,"SP:","")</f>
        <v>Music David20171012 $1445</v>
      </c>
      <c r="N204" s="15" t="str">
        <f aca="false">SUBSTITUTE(M204,"201710"," 201710")</f>
        <v>Music David 20171012 $1445</v>
      </c>
      <c r="O204" s="21" t="n">
        <f aca="false">FIND(" ",N204)</f>
        <v>6</v>
      </c>
      <c r="P204" s="21" t="n">
        <f aca="false">FIND(" ",N204,O204+1)</f>
        <v>12</v>
      </c>
      <c r="Q204" s="21" t="n">
        <f aca="false">FIND(" ",N204,P204+1)</f>
        <v>21</v>
      </c>
      <c r="R204" s="26" t="str">
        <f aca="false">LEFT(N204,O204-1)</f>
        <v>Music</v>
      </c>
      <c r="S204" s="26" t="str">
        <f aca="false">MID(N204,O204+1,P204-O204-1)</f>
        <v>David</v>
      </c>
      <c r="T204" s="26" t="str">
        <f aca="false">MID(N204,P204+1,Q204-P204-1)</f>
        <v>20171012</v>
      </c>
      <c r="U204" s="26" t="n">
        <f aca="false">VALUE(MID(N204,Q204+2,90))</f>
        <v>1445</v>
      </c>
      <c r="V204" s="27" t="n">
        <f aca="false">DATE(2017,10,MID(T204,7,2))</f>
        <v>43020</v>
      </c>
    </row>
    <row r="205" customFormat="false" ht="14.25" hidden="false" customHeight="false" outlineLevel="0" collapsed="false">
      <c r="A205" s="23" t="n">
        <f aca="false">A204+1</f>
        <v>201</v>
      </c>
      <c r="B205" s="14" t="s">
        <v>219</v>
      </c>
      <c r="C205" s="21" t="n">
        <f aca="false">CODE(RIGHT(B205,1))</f>
        <v>30</v>
      </c>
      <c r="D205" s="14" t="str">
        <f aca="false">CLEAN(B205)</f>
        <v>/PR:Music___SP:Carol20171030  $1133   </v>
      </c>
      <c r="E205" s="21" t="n">
        <f aca="false">CODE(RIGHT(D205,1))</f>
        <v>32</v>
      </c>
      <c r="F205" s="14" t="str">
        <f aca="false">SUBSTITUTE(D205,_xlfn.UNICHAR(160)," ")</f>
        <v>/PR:Music___SP:Carol20171030  $1133   </v>
      </c>
      <c r="G205" s="14" t="str">
        <f aca="false">SUBSTITUTE(F205,"/","")</f>
        <v>PR:Music___SP:Carol20171030  $1133   </v>
      </c>
      <c r="H205" s="14" t="str">
        <f aca="false">SUBSTITUTE(G205,"_"," ")</f>
        <v>PR:Music   SP:Carol20171030  $1133   </v>
      </c>
      <c r="I205" s="14" t="str">
        <f aca="false">TRIM(H205)</f>
        <v>PR:Music SP:Carol20171030 $1133</v>
      </c>
      <c r="J205" s="21" t="n">
        <f aca="false">LEN(I205)</f>
        <v>31</v>
      </c>
      <c r="K205" s="21" t="n">
        <f aca="false">CODE(RIGHT(I205,1))</f>
        <v>51</v>
      </c>
      <c r="L205" s="14" t="str">
        <f aca="false">SUBSTITUTE(I205,"PR:","")</f>
        <v>Music SP:Carol20171030 $1133</v>
      </c>
      <c r="M205" s="14" t="str">
        <f aca="false">SUBSTITUTE(L205,"SP:","")</f>
        <v>Music Carol20171030 $1133</v>
      </c>
      <c r="N205" s="15" t="str">
        <f aca="false">SUBSTITUTE(M205,"201710"," 201710")</f>
        <v>Music Carol 20171030 $1133</v>
      </c>
      <c r="O205" s="21" t="n">
        <f aca="false">FIND(" ",N205)</f>
        <v>6</v>
      </c>
      <c r="P205" s="21" t="n">
        <f aca="false">FIND(" ",N205,O205+1)</f>
        <v>12</v>
      </c>
      <c r="Q205" s="21" t="n">
        <f aca="false">FIND(" ",N205,P205+1)</f>
        <v>21</v>
      </c>
      <c r="R205" s="26" t="str">
        <f aca="false">LEFT(N205,O205-1)</f>
        <v>Music</v>
      </c>
      <c r="S205" s="26" t="str">
        <f aca="false">MID(N205,O205+1,P205-O205-1)</f>
        <v>Carol</v>
      </c>
      <c r="T205" s="26" t="str">
        <f aca="false">MID(N205,P205+1,Q205-P205-1)</f>
        <v>20171030</v>
      </c>
      <c r="U205" s="26" t="n">
        <f aca="false">VALUE(MID(N205,Q205+2,90))</f>
        <v>1133</v>
      </c>
      <c r="V205" s="27" t="n">
        <f aca="false">DATE(2017,10,MID(T205,7,2))</f>
        <v>43038</v>
      </c>
    </row>
    <row r="206" customFormat="false" ht="14.25" hidden="false" customHeight="false" outlineLevel="0" collapsed="false">
      <c r="A206" s="23" t="n">
        <f aca="false">A205+1</f>
        <v>202</v>
      </c>
      <c r="B206" s="14" t="s">
        <v>220</v>
      </c>
      <c r="C206" s="21" t="n">
        <f aca="false">CODE(RIGHT(B206,1))</f>
        <v>28</v>
      </c>
      <c r="D206" s="14" t="str">
        <f aca="false">CLEAN(B206)</f>
        <v>/////PR:Clothing___SP:Carol2017105     $0     </v>
      </c>
      <c r="E206" s="21" t="n">
        <f aca="false">CODE(RIGHT(D206,1))</f>
        <v>32</v>
      </c>
      <c r="F206" s="14" t="str">
        <f aca="false">SUBSTITUTE(D206,_xlfn.UNICHAR(160)," ")</f>
        <v>/////PR:Clothing___SP:Carol2017105     $0     </v>
      </c>
      <c r="G206" s="14" t="str">
        <f aca="false">SUBSTITUTE(F206,"/","")</f>
        <v>PR:Clothing___SP:Carol2017105     $0     </v>
      </c>
      <c r="H206" s="14" t="str">
        <f aca="false">SUBSTITUTE(G206,"_"," ")</f>
        <v>PR:Clothing   SP:Carol2017105     $0     </v>
      </c>
      <c r="I206" s="14" t="str">
        <f aca="false">TRIM(H206)</f>
        <v>PR:Clothing SP:Carol2017105 $0</v>
      </c>
      <c r="J206" s="21" t="n">
        <f aca="false">LEN(I206)</f>
        <v>30</v>
      </c>
      <c r="K206" s="21" t="n">
        <f aca="false">CODE(RIGHT(I206,1))</f>
        <v>48</v>
      </c>
      <c r="L206" s="14" t="str">
        <f aca="false">SUBSTITUTE(I206,"PR:","")</f>
        <v>Clothing SP:Carol2017105 $0</v>
      </c>
      <c r="M206" s="14" t="str">
        <f aca="false">SUBSTITUTE(L206,"SP:","")</f>
        <v>Clothing Carol2017105 $0</v>
      </c>
      <c r="N206" s="15" t="str">
        <f aca="false">SUBSTITUTE(M206,"201710"," 201710")</f>
        <v>Clothing Carol 2017105 $0</v>
      </c>
      <c r="O206" s="21" t="n">
        <f aca="false">FIND(" ",N206)</f>
        <v>9</v>
      </c>
      <c r="P206" s="21" t="n">
        <f aca="false">FIND(" ",N206,O206+1)</f>
        <v>15</v>
      </c>
      <c r="Q206" s="21" t="n">
        <f aca="false">FIND(" ",N206,P206+1)</f>
        <v>23</v>
      </c>
      <c r="R206" s="26" t="str">
        <f aca="false">LEFT(N206,O206-1)</f>
        <v>Clothing</v>
      </c>
      <c r="S206" s="26" t="str">
        <f aca="false">MID(N206,O206+1,P206-O206-1)</f>
        <v>Carol</v>
      </c>
      <c r="T206" s="26" t="str">
        <f aca="false">MID(N206,P206+1,Q206-P206-1)</f>
        <v>2017105</v>
      </c>
      <c r="U206" s="26" t="n">
        <f aca="false">VALUE(MID(N206,Q206+2,90))</f>
        <v>0</v>
      </c>
      <c r="V206" s="27" t="n">
        <f aca="false">DATE(2017,10,MID(T206,7,2))</f>
        <v>43013</v>
      </c>
    </row>
    <row r="207" customFormat="false" ht="14.25" hidden="false" customHeight="false" outlineLevel="0" collapsed="false">
      <c r="A207" s="23" t="n">
        <f aca="false">A206+1</f>
        <v>203</v>
      </c>
      <c r="B207" s="14" t="s">
        <v>221</v>
      </c>
      <c r="C207" s="21" t="n">
        <f aca="false">CODE(RIGHT(B207,1))</f>
        <v>31</v>
      </c>
      <c r="D207" s="14" t="str">
        <f aca="false">CLEAN(B207)</f>
        <v>///PR:Clothing__SP:Alice20171031     $874 </v>
      </c>
      <c r="E207" s="21" t="n">
        <f aca="false">CODE(RIGHT(D207,1))</f>
        <v>32</v>
      </c>
      <c r="F207" s="14" t="str">
        <f aca="false">SUBSTITUTE(D207,_xlfn.UNICHAR(160)," ")</f>
        <v>///PR:Clothing__SP:Alice20171031     $874 </v>
      </c>
      <c r="G207" s="14" t="str">
        <f aca="false">SUBSTITUTE(F207,"/","")</f>
        <v>PR:Clothing__SP:Alice20171031     $874 </v>
      </c>
      <c r="H207" s="14" t="str">
        <f aca="false">SUBSTITUTE(G207,"_"," ")</f>
        <v>PR:Clothing  SP:Alice20171031     $874 </v>
      </c>
      <c r="I207" s="14" t="str">
        <f aca="false">TRIM(H207)</f>
        <v>PR:Clothing SP:Alice20171031 $874</v>
      </c>
      <c r="J207" s="21" t="n">
        <f aca="false">LEN(I207)</f>
        <v>33</v>
      </c>
      <c r="K207" s="21" t="n">
        <f aca="false">CODE(RIGHT(I207,1))</f>
        <v>52</v>
      </c>
      <c r="L207" s="14" t="str">
        <f aca="false">SUBSTITUTE(I207,"PR:","")</f>
        <v>Clothing SP:Alice20171031 $874</v>
      </c>
      <c r="M207" s="14" t="str">
        <f aca="false">SUBSTITUTE(L207,"SP:","")</f>
        <v>Clothing Alice20171031 $874</v>
      </c>
      <c r="N207" s="15" t="str">
        <f aca="false">SUBSTITUTE(M207,"201710"," 201710")</f>
        <v>Clothing Alice 20171031 $874</v>
      </c>
      <c r="O207" s="21" t="n">
        <f aca="false">FIND(" ",N207)</f>
        <v>9</v>
      </c>
      <c r="P207" s="21" t="n">
        <f aca="false">FIND(" ",N207,O207+1)</f>
        <v>15</v>
      </c>
      <c r="Q207" s="21" t="n">
        <f aca="false">FIND(" ",N207,P207+1)</f>
        <v>24</v>
      </c>
      <c r="R207" s="26" t="str">
        <f aca="false">LEFT(N207,O207-1)</f>
        <v>Clothing</v>
      </c>
      <c r="S207" s="26" t="str">
        <f aca="false">MID(N207,O207+1,P207-O207-1)</f>
        <v>Alice</v>
      </c>
      <c r="T207" s="26" t="str">
        <f aca="false">MID(N207,P207+1,Q207-P207-1)</f>
        <v>20171031</v>
      </c>
      <c r="U207" s="26" t="n">
        <f aca="false">VALUE(MID(N207,Q207+2,90))</f>
        <v>874</v>
      </c>
      <c r="V207" s="27" t="n">
        <f aca="false">DATE(2017,10,MID(T207,7,2))</f>
        <v>43039</v>
      </c>
    </row>
    <row r="208" customFormat="false" ht="14.25" hidden="false" customHeight="false" outlineLevel="0" collapsed="false">
      <c r="A208" s="23" t="n">
        <f aca="false">A207+1</f>
        <v>204</v>
      </c>
      <c r="B208" s="14" t="s">
        <v>222</v>
      </c>
      <c r="C208" s="21" t="n">
        <f aca="false">CODE(RIGHT(B208,1))</f>
        <v>31</v>
      </c>
      <c r="D208" s="14" t="str">
        <f aca="false">CLEAN(B208)</f>
        <v>//PR:Music___SP:Carol2017108     $1003   </v>
      </c>
      <c r="E208" s="21" t="n">
        <f aca="false">CODE(RIGHT(D208,1))</f>
        <v>32</v>
      </c>
      <c r="F208" s="14" t="str">
        <f aca="false">SUBSTITUTE(D208,_xlfn.UNICHAR(160)," ")</f>
        <v>//PR:Music___SP:Carol2017108     $1003   </v>
      </c>
      <c r="G208" s="14" t="str">
        <f aca="false">SUBSTITUTE(F208,"/","")</f>
        <v>PR:Music___SP:Carol2017108     $1003   </v>
      </c>
      <c r="H208" s="14" t="str">
        <f aca="false">SUBSTITUTE(G208,"_"," ")</f>
        <v>PR:Music   SP:Carol2017108     $1003   </v>
      </c>
      <c r="I208" s="14" t="str">
        <f aca="false">TRIM(H208)</f>
        <v>PR:Music SP:Carol2017108 $1003</v>
      </c>
      <c r="J208" s="21" t="n">
        <f aca="false">LEN(I208)</f>
        <v>30</v>
      </c>
      <c r="K208" s="21" t="n">
        <f aca="false">CODE(RIGHT(I208,1))</f>
        <v>51</v>
      </c>
      <c r="L208" s="14" t="str">
        <f aca="false">SUBSTITUTE(I208,"PR:","")</f>
        <v>Music SP:Carol2017108 $1003</v>
      </c>
      <c r="M208" s="14" t="str">
        <f aca="false">SUBSTITUTE(L208,"SP:","")</f>
        <v>Music Carol2017108 $1003</v>
      </c>
      <c r="N208" s="15" t="str">
        <f aca="false">SUBSTITUTE(M208,"201710"," 201710")</f>
        <v>Music Carol 2017108 $1003</v>
      </c>
      <c r="O208" s="21" t="n">
        <f aca="false">FIND(" ",N208)</f>
        <v>6</v>
      </c>
      <c r="P208" s="21" t="n">
        <f aca="false">FIND(" ",N208,O208+1)</f>
        <v>12</v>
      </c>
      <c r="Q208" s="21" t="n">
        <f aca="false">FIND(" ",N208,P208+1)</f>
        <v>20</v>
      </c>
      <c r="R208" s="26" t="str">
        <f aca="false">LEFT(N208,O208-1)</f>
        <v>Music</v>
      </c>
      <c r="S208" s="26" t="str">
        <f aca="false">MID(N208,O208+1,P208-O208-1)</f>
        <v>Carol</v>
      </c>
      <c r="T208" s="26" t="str">
        <f aca="false">MID(N208,P208+1,Q208-P208-1)</f>
        <v>2017108</v>
      </c>
      <c r="U208" s="26" t="n">
        <f aca="false">VALUE(MID(N208,Q208+2,90))</f>
        <v>1003</v>
      </c>
      <c r="V208" s="27" t="n">
        <f aca="false">DATE(2017,10,MID(T208,7,2))</f>
        <v>43016</v>
      </c>
    </row>
    <row r="209" customFormat="false" ht="14.25" hidden="false" customHeight="false" outlineLevel="0" collapsed="false">
      <c r="A209" s="23" t="n">
        <f aca="false">A208+1</f>
        <v>205</v>
      </c>
      <c r="B209" s="14" t="s">
        <v>223</v>
      </c>
      <c r="C209" s="21" t="n">
        <f aca="false">CODE(RIGHT(B209,1))</f>
        <v>30</v>
      </c>
      <c r="D209" s="14" t="str">
        <f aca="false">CLEAN(B209)</f>
        <v>///PR:Books__SP:David20171012     $688  </v>
      </c>
      <c r="E209" s="21" t="n">
        <f aca="false">CODE(RIGHT(D209,1))</f>
        <v>32</v>
      </c>
      <c r="F209" s="14" t="str">
        <f aca="false">SUBSTITUTE(D209,_xlfn.UNICHAR(160)," ")</f>
        <v>///PR:Books__SP:David20171012     $688  </v>
      </c>
      <c r="G209" s="14" t="str">
        <f aca="false">SUBSTITUTE(F209,"/","")</f>
        <v>PR:Books__SP:David20171012     $688  </v>
      </c>
      <c r="H209" s="14" t="str">
        <f aca="false">SUBSTITUTE(G209,"_"," ")</f>
        <v>PR:Books  SP:David20171012     $688  </v>
      </c>
      <c r="I209" s="14" t="str">
        <f aca="false">TRIM(H209)</f>
        <v>PR:Books SP:David20171012 $688</v>
      </c>
      <c r="J209" s="21" t="n">
        <f aca="false">LEN(I209)</f>
        <v>30</v>
      </c>
      <c r="K209" s="21" t="n">
        <f aca="false">CODE(RIGHT(I209,1))</f>
        <v>56</v>
      </c>
      <c r="L209" s="14" t="str">
        <f aca="false">SUBSTITUTE(I209,"PR:","")</f>
        <v>Books SP:David20171012 $688</v>
      </c>
      <c r="M209" s="14" t="str">
        <f aca="false">SUBSTITUTE(L209,"SP:","")</f>
        <v>Books David20171012 $688</v>
      </c>
      <c r="N209" s="15" t="str">
        <f aca="false">SUBSTITUTE(M209,"201710"," 201710")</f>
        <v>Books David 20171012 $688</v>
      </c>
      <c r="O209" s="21" t="n">
        <f aca="false">FIND(" ",N209)</f>
        <v>6</v>
      </c>
      <c r="P209" s="21" t="n">
        <f aca="false">FIND(" ",N209,O209+1)</f>
        <v>12</v>
      </c>
      <c r="Q209" s="21" t="n">
        <f aca="false">FIND(" ",N209,P209+1)</f>
        <v>21</v>
      </c>
      <c r="R209" s="26" t="str">
        <f aca="false">LEFT(N209,O209-1)</f>
        <v>Books</v>
      </c>
      <c r="S209" s="26" t="str">
        <f aca="false">MID(N209,O209+1,P209-O209-1)</f>
        <v>David</v>
      </c>
      <c r="T209" s="26" t="str">
        <f aca="false">MID(N209,P209+1,Q209-P209-1)</f>
        <v>20171012</v>
      </c>
      <c r="U209" s="26" t="n">
        <f aca="false">VALUE(MID(N209,Q209+2,90))</f>
        <v>688</v>
      </c>
      <c r="V209" s="27" t="n">
        <f aca="false">DATE(2017,10,MID(T209,7,2))</f>
        <v>43020</v>
      </c>
    </row>
    <row r="210" customFormat="false" ht="14.25" hidden="false" customHeight="false" outlineLevel="0" collapsed="false">
      <c r="A210" s="23" t="n">
        <f aca="false">A209+1</f>
        <v>206</v>
      </c>
      <c r="B210" s="14" t="s">
        <v>224</v>
      </c>
      <c r="C210" s="21" t="n">
        <f aca="false">CODE(RIGHT(B210,1))</f>
        <v>30</v>
      </c>
      <c r="D210" s="14" t="str">
        <f aca="false">CLEAN(B210)</f>
        <v>//PR:Clothing_____SP:Carol20171022  $1334     </v>
      </c>
      <c r="E210" s="21" t="n">
        <f aca="false">CODE(RIGHT(D210,1))</f>
        <v>32</v>
      </c>
      <c r="F210" s="14" t="str">
        <f aca="false">SUBSTITUTE(D210,_xlfn.UNICHAR(160)," ")</f>
        <v>//PR:Clothing_____SP:Carol20171022  $1334     </v>
      </c>
      <c r="G210" s="14" t="str">
        <f aca="false">SUBSTITUTE(F210,"/","")</f>
        <v>PR:Clothing_____SP:Carol20171022  $1334     </v>
      </c>
      <c r="H210" s="14" t="str">
        <f aca="false">SUBSTITUTE(G210,"_"," ")</f>
        <v>PR:Clothing     SP:Carol20171022  $1334     </v>
      </c>
      <c r="I210" s="14" t="str">
        <f aca="false">TRIM(H210)</f>
        <v>PR:Clothing SP:Carol20171022 $1334</v>
      </c>
      <c r="J210" s="21" t="n">
        <f aca="false">LEN(I210)</f>
        <v>34</v>
      </c>
      <c r="K210" s="21" t="n">
        <f aca="false">CODE(RIGHT(I210,1))</f>
        <v>52</v>
      </c>
      <c r="L210" s="14" t="str">
        <f aca="false">SUBSTITUTE(I210,"PR:","")</f>
        <v>Clothing SP:Carol20171022 $1334</v>
      </c>
      <c r="M210" s="14" t="str">
        <f aca="false">SUBSTITUTE(L210,"SP:","")</f>
        <v>Clothing Carol20171022 $1334</v>
      </c>
      <c r="N210" s="15" t="str">
        <f aca="false">SUBSTITUTE(M210,"201710"," 201710")</f>
        <v>Clothing Carol 20171022 $1334</v>
      </c>
      <c r="O210" s="21" t="n">
        <f aca="false">FIND(" ",N210)</f>
        <v>9</v>
      </c>
      <c r="P210" s="21" t="n">
        <f aca="false">FIND(" ",N210,O210+1)</f>
        <v>15</v>
      </c>
      <c r="Q210" s="21" t="n">
        <f aca="false">FIND(" ",N210,P210+1)</f>
        <v>24</v>
      </c>
      <c r="R210" s="26" t="str">
        <f aca="false">LEFT(N210,O210-1)</f>
        <v>Clothing</v>
      </c>
      <c r="S210" s="26" t="str">
        <f aca="false">MID(N210,O210+1,P210-O210-1)</f>
        <v>Carol</v>
      </c>
      <c r="T210" s="26" t="str">
        <f aca="false">MID(N210,P210+1,Q210-P210-1)</f>
        <v>20171022</v>
      </c>
      <c r="U210" s="26" t="n">
        <f aca="false">VALUE(MID(N210,Q210+2,90))</f>
        <v>1334</v>
      </c>
      <c r="V210" s="27" t="n">
        <f aca="false">DATE(2017,10,MID(T210,7,2))</f>
        <v>43030</v>
      </c>
    </row>
    <row r="211" customFormat="false" ht="14.25" hidden="false" customHeight="false" outlineLevel="0" collapsed="false">
      <c r="A211" s="23" t="n">
        <f aca="false">A210+1</f>
        <v>207</v>
      </c>
      <c r="B211" s="14" t="s">
        <v>225</v>
      </c>
      <c r="C211" s="21" t="n">
        <f aca="false">CODE(RIGHT(B211,1))</f>
        <v>30</v>
      </c>
      <c r="D211" s="14" t="str">
        <f aca="false">CLEAN(B211)</f>
        <v>/PR:Books_SP:Alice20171014     $552  </v>
      </c>
      <c r="E211" s="21" t="n">
        <f aca="false">CODE(RIGHT(D211,1))</f>
        <v>32</v>
      </c>
      <c r="F211" s="14" t="str">
        <f aca="false">SUBSTITUTE(D211,_xlfn.UNICHAR(160)," ")</f>
        <v>/PR:Books_SP:Alice20171014     $552  </v>
      </c>
      <c r="G211" s="14" t="str">
        <f aca="false">SUBSTITUTE(F211,"/","")</f>
        <v>PR:Books_SP:Alice20171014     $552  </v>
      </c>
      <c r="H211" s="14" t="str">
        <f aca="false">SUBSTITUTE(G211,"_"," ")</f>
        <v>PR:Books SP:Alice20171014     $552  </v>
      </c>
      <c r="I211" s="14" t="str">
        <f aca="false">TRIM(H211)</f>
        <v>PR:Books SP:Alice20171014 $552</v>
      </c>
      <c r="J211" s="21" t="n">
        <f aca="false">LEN(I211)</f>
        <v>30</v>
      </c>
      <c r="K211" s="21" t="n">
        <f aca="false">CODE(RIGHT(I211,1))</f>
        <v>50</v>
      </c>
      <c r="L211" s="14" t="str">
        <f aca="false">SUBSTITUTE(I211,"PR:","")</f>
        <v>Books SP:Alice20171014 $552</v>
      </c>
      <c r="M211" s="14" t="str">
        <f aca="false">SUBSTITUTE(L211,"SP:","")</f>
        <v>Books Alice20171014 $552</v>
      </c>
      <c r="N211" s="15" t="str">
        <f aca="false">SUBSTITUTE(M211,"201710"," 201710")</f>
        <v>Books Alice 20171014 $552</v>
      </c>
      <c r="O211" s="21" t="n">
        <f aca="false">FIND(" ",N211)</f>
        <v>6</v>
      </c>
      <c r="P211" s="21" t="n">
        <f aca="false">FIND(" ",N211,O211+1)</f>
        <v>12</v>
      </c>
      <c r="Q211" s="21" t="n">
        <f aca="false">FIND(" ",N211,P211+1)</f>
        <v>21</v>
      </c>
      <c r="R211" s="26" t="str">
        <f aca="false">LEFT(N211,O211-1)</f>
        <v>Books</v>
      </c>
      <c r="S211" s="26" t="str">
        <f aca="false">MID(N211,O211+1,P211-O211-1)</f>
        <v>Alice</v>
      </c>
      <c r="T211" s="26" t="str">
        <f aca="false">MID(N211,P211+1,Q211-P211-1)</f>
        <v>20171014</v>
      </c>
      <c r="U211" s="26" t="n">
        <f aca="false">VALUE(MID(N211,Q211+2,90))</f>
        <v>552</v>
      </c>
      <c r="V211" s="27" t="n">
        <f aca="false">DATE(2017,10,MID(T211,7,2))</f>
        <v>43022</v>
      </c>
    </row>
    <row r="212" customFormat="false" ht="14.25" hidden="false" customHeight="false" outlineLevel="0" collapsed="false">
      <c r="A212" s="23" t="n">
        <f aca="false">A211+1</f>
        <v>208</v>
      </c>
      <c r="B212" s="14" t="s">
        <v>226</v>
      </c>
      <c r="C212" s="21" t="n">
        <f aca="false">CODE(RIGHT(B212,1))</f>
        <v>31</v>
      </c>
      <c r="D212" s="14" t="str">
        <f aca="false">CLEAN(B212)</f>
        <v>////PR:Books_____SP:Carol20171011     $776   </v>
      </c>
      <c r="E212" s="21" t="n">
        <f aca="false">CODE(RIGHT(D212,1))</f>
        <v>32</v>
      </c>
      <c r="F212" s="14" t="str">
        <f aca="false">SUBSTITUTE(D212,_xlfn.UNICHAR(160)," ")</f>
        <v>////PR:Books_____SP:Carol20171011     $776   </v>
      </c>
      <c r="G212" s="14" t="str">
        <f aca="false">SUBSTITUTE(F212,"/","")</f>
        <v>PR:Books_____SP:Carol20171011     $776   </v>
      </c>
      <c r="H212" s="14" t="str">
        <f aca="false">SUBSTITUTE(G212,"_"," ")</f>
        <v>PR:Books     SP:Carol20171011     $776   </v>
      </c>
      <c r="I212" s="14" t="str">
        <f aca="false">TRIM(H212)</f>
        <v>PR:Books SP:Carol20171011 $776</v>
      </c>
      <c r="J212" s="21" t="n">
        <f aca="false">LEN(I212)</f>
        <v>30</v>
      </c>
      <c r="K212" s="21" t="n">
        <f aca="false">CODE(RIGHT(I212,1))</f>
        <v>54</v>
      </c>
      <c r="L212" s="14" t="str">
        <f aca="false">SUBSTITUTE(I212,"PR:","")</f>
        <v>Books SP:Carol20171011 $776</v>
      </c>
      <c r="M212" s="14" t="str">
        <f aca="false">SUBSTITUTE(L212,"SP:","")</f>
        <v>Books Carol20171011 $776</v>
      </c>
      <c r="N212" s="15" t="str">
        <f aca="false">SUBSTITUTE(M212,"201710"," 201710")</f>
        <v>Books Carol 20171011 $776</v>
      </c>
      <c r="O212" s="21" t="n">
        <f aca="false">FIND(" ",N212)</f>
        <v>6</v>
      </c>
      <c r="P212" s="21" t="n">
        <f aca="false">FIND(" ",N212,O212+1)</f>
        <v>12</v>
      </c>
      <c r="Q212" s="21" t="n">
        <f aca="false">FIND(" ",N212,P212+1)</f>
        <v>21</v>
      </c>
      <c r="R212" s="26" t="str">
        <f aca="false">LEFT(N212,O212-1)</f>
        <v>Books</v>
      </c>
      <c r="S212" s="26" t="str">
        <f aca="false">MID(N212,O212+1,P212-O212-1)</f>
        <v>Carol</v>
      </c>
      <c r="T212" s="26" t="str">
        <f aca="false">MID(N212,P212+1,Q212-P212-1)</f>
        <v>20171011</v>
      </c>
      <c r="U212" s="26" t="n">
        <f aca="false">VALUE(MID(N212,Q212+2,90))</f>
        <v>776</v>
      </c>
      <c r="V212" s="27" t="n">
        <f aca="false">DATE(2017,10,MID(T212,7,2))</f>
        <v>43019</v>
      </c>
    </row>
    <row r="213" customFormat="false" ht="14.25" hidden="false" customHeight="false" outlineLevel="0" collapsed="false">
      <c r="A213" s="23" t="n">
        <f aca="false">A212+1</f>
        <v>209</v>
      </c>
      <c r="B213" s="14" t="s">
        <v>227</v>
      </c>
      <c r="C213" s="21" t="n">
        <f aca="false">CODE(RIGHT(B213,1))</f>
        <v>30</v>
      </c>
      <c r="D213" s="14" t="str">
        <f aca="false">CLEAN(B213)</f>
        <v>/PR:Games__SP:Barney20171028    $1261    </v>
      </c>
      <c r="E213" s="21" t="n">
        <f aca="false">CODE(RIGHT(D213,1))</f>
        <v>32</v>
      </c>
      <c r="F213" s="14" t="str">
        <f aca="false">SUBSTITUTE(D213,_xlfn.UNICHAR(160)," ")</f>
        <v>/PR:Games__SP:Barney20171028    $1261    </v>
      </c>
      <c r="G213" s="14" t="str">
        <f aca="false">SUBSTITUTE(F213,"/","")</f>
        <v>PR:Games__SP:Barney20171028    $1261    </v>
      </c>
      <c r="H213" s="14" t="str">
        <f aca="false">SUBSTITUTE(G213,"_"," ")</f>
        <v>PR:Games  SP:Barney20171028    $1261    </v>
      </c>
      <c r="I213" s="14" t="str">
        <f aca="false">TRIM(H213)</f>
        <v>PR:Games SP:Barney20171028 $1261</v>
      </c>
      <c r="J213" s="21" t="n">
        <f aca="false">LEN(I213)</f>
        <v>32</v>
      </c>
      <c r="K213" s="21" t="n">
        <f aca="false">CODE(RIGHT(I213,1))</f>
        <v>49</v>
      </c>
      <c r="L213" s="14" t="str">
        <f aca="false">SUBSTITUTE(I213,"PR:","")</f>
        <v>Games SP:Barney20171028 $1261</v>
      </c>
      <c r="M213" s="14" t="str">
        <f aca="false">SUBSTITUTE(L213,"SP:","")</f>
        <v>Games Barney20171028 $1261</v>
      </c>
      <c r="N213" s="15" t="str">
        <f aca="false">SUBSTITUTE(M213,"201710"," 201710")</f>
        <v>Games Barney 20171028 $1261</v>
      </c>
      <c r="O213" s="21" t="n">
        <f aca="false">FIND(" ",N213)</f>
        <v>6</v>
      </c>
      <c r="P213" s="21" t="n">
        <f aca="false">FIND(" ",N213,O213+1)</f>
        <v>13</v>
      </c>
      <c r="Q213" s="21" t="n">
        <f aca="false">FIND(" ",N213,P213+1)</f>
        <v>22</v>
      </c>
      <c r="R213" s="26" t="str">
        <f aca="false">LEFT(N213,O213-1)</f>
        <v>Games</v>
      </c>
      <c r="S213" s="26" t="str">
        <f aca="false">MID(N213,O213+1,P213-O213-1)</f>
        <v>Barney</v>
      </c>
      <c r="T213" s="26" t="str">
        <f aca="false">MID(N213,P213+1,Q213-P213-1)</f>
        <v>20171028</v>
      </c>
      <c r="U213" s="26" t="n">
        <f aca="false">VALUE(MID(N213,Q213+2,90))</f>
        <v>1261</v>
      </c>
      <c r="V213" s="27" t="n">
        <f aca="false">DATE(2017,10,MID(T213,7,2))</f>
        <v>43036</v>
      </c>
    </row>
    <row r="214" customFormat="false" ht="14.25" hidden="false" customHeight="false" outlineLevel="0" collapsed="false">
      <c r="A214" s="23" t="n">
        <f aca="false">A213+1</f>
        <v>210</v>
      </c>
      <c r="B214" s="14" t="s">
        <v>228</v>
      </c>
      <c r="C214" s="21" t="n">
        <f aca="false">CODE(RIGHT(B214,1))</f>
        <v>30</v>
      </c>
      <c r="D214" s="14" t="str">
        <f aca="false">CLEAN(B214)</f>
        <v>////PR:Music____SP:David20171022   $1437 </v>
      </c>
      <c r="E214" s="21" t="n">
        <f aca="false">CODE(RIGHT(D214,1))</f>
        <v>32</v>
      </c>
      <c r="F214" s="14" t="str">
        <f aca="false">SUBSTITUTE(D214,_xlfn.UNICHAR(160)," ")</f>
        <v>////PR:Music____SP:David20171022   $1437 </v>
      </c>
      <c r="G214" s="14" t="str">
        <f aca="false">SUBSTITUTE(F214,"/","")</f>
        <v>PR:Music____SP:David20171022   $1437 </v>
      </c>
      <c r="H214" s="14" t="str">
        <f aca="false">SUBSTITUTE(G214,"_"," ")</f>
        <v>PR:Music    SP:David20171022   $1437 </v>
      </c>
      <c r="I214" s="14" t="str">
        <f aca="false">TRIM(H214)</f>
        <v>PR:Music SP:David20171022 $1437</v>
      </c>
      <c r="J214" s="21" t="n">
        <f aca="false">LEN(I214)</f>
        <v>31</v>
      </c>
      <c r="K214" s="21" t="n">
        <f aca="false">CODE(RIGHT(I214,1))</f>
        <v>55</v>
      </c>
      <c r="L214" s="14" t="str">
        <f aca="false">SUBSTITUTE(I214,"PR:","")</f>
        <v>Music SP:David20171022 $1437</v>
      </c>
      <c r="M214" s="14" t="str">
        <f aca="false">SUBSTITUTE(L214,"SP:","")</f>
        <v>Music David20171022 $1437</v>
      </c>
      <c r="N214" s="15" t="str">
        <f aca="false">SUBSTITUTE(M214,"201710"," 201710")</f>
        <v>Music David 20171022 $1437</v>
      </c>
      <c r="O214" s="21" t="n">
        <f aca="false">FIND(" ",N214)</f>
        <v>6</v>
      </c>
      <c r="P214" s="21" t="n">
        <f aca="false">FIND(" ",N214,O214+1)</f>
        <v>12</v>
      </c>
      <c r="Q214" s="21" t="n">
        <f aca="false">FIND(" ",N214,P214+1)</f>
        <v>21</v>
      </c>
      <c r="R214" s="26" t="str">
        <f aca="false">LEFT(N214,O214-1)</f>
        <v>Music</v>
      </c>
      <c r="S214" s="26" t="str">
        <f aca="false">MID(N214,O214+1,P214-O214-1)</f>
        <v>David</v>
      </c>
      <c r="T214" s="26" t="str">
        <f aca="false">MID(N214,P214+1,Q214-P214-1)</f>
        <v>20171022</v>
      </c>
      <c r="U214" s="26" t="n">
        <f aca="false">VALUE(MID(N214,Q214+2,90))</f>
        <v>1437</v>
      </c>
      <c r="V214" s="27" t="n">
        <f aca="false">DATE(2017,10,MID(T214,7,2))</f>
        <v>43030</v>
      </c>
    </row>
    <row r="215" customFormat="false" ht="14.25" hidden="false" customHeight="false" outlineLevel="0" collapsed="false">
      <c r="A215" s="23" t="n">
        <f aca="false">A214+1</f>
        <v>211</v>
      </c>
      <c r="B215" s="14" t="s">
        <v>229</v>
      </c>
      <c r="C215" s="21" t="n">
        <f aca="false">CODE(RIGHT(B215,1))</f>
        <v>28</v>
      </c>
      <c r="D215" s="14" t="str">
        <f aca="false">CLEAN(B215)</f>
        <v>/PR:Clothing__SP:David20171025 $0     </v>
      </c>
      <c r="E215" s="21" t="n">
        <f aca="false">CODE(RIGHT(D215,1))</f>
        <v>32</v>
      </c>
      <c r="F215" s="14" t="str">
        <f aca="false">SUBSTITUTE(D215,_xlfn.UNICHAR(160)," ")</f>
        <v>/PR:Clothing__SP:David20171025 $0     </v>
      </c>
      <c r="G215" s="14" t="str">
        <f aca="false">SUBSTITUTE(F215,"/","")</f>
        <v>PR:Clothing__SP:David20171025 $0     </v>
      </c>
      <c r="H215" s="14" t="str">
        <f aca="false">SUBSTITUTE(G215,"_"," ")</f>
        <v>PR:Clothing  SP:David20171025 $0     </v>
      </c>
      <c r="I215" s="14" t="str">
        <f aca="false">TRIM(H215)</f>
        <v>PR:Clothing SP:David20171025 $0</v>
      </c>
      <c r="J215" s="21" t="n">
        <f aca="false">LEN(I215)</f>
        <v>31</v>
      </c>
      <c r="K215" s="21" t="n">
        <f aca="false">CODE(RIGHT(I215,1))</f>
        <v>48</v>
      </c>
      <c r="L215" s="14" t="str">
        <f aca="false">SUBSTITUTE(I215,"PR:","")</f>
        <v>Clothing SP:David20171025 $0</v>
      </c>
      <c r="M215" s="14" t="str">
        <f aca="false">SUBSTITUTE(L215,"SP:","")</f>
        <v>Clothing David20171025 $0</v>
      </c>
      <c r="N215" s="15" t="str">
        <f aca="false">SUBSTITUTE(M215,"201710"," 201710")</f>
        <v>Clothing David 20171025 $0</v>
      </c>
      <c r="O215" s="21" t="n">
        <f aca="false">FIND(" ",N215)</f>
        <v>9</v>
      </c>
      <c r="P215" s="21" t="n">
        <f aca="false">FIND(" ",N215,O215+1)</f>
        <v>15</v>
      </c>
      <c r="Q215" s="21" t="n">
        <f aca="false">FIND(" ",N215,P215+1)</f>
        <v>24</v>
      </c>
      <c r="R215" s="26" t="str">
        <f aca="false">LEFT(N215,O215-1)</f>
        <v>Clothing</v>
      </c>
      <c r="S215" s="26" t="str">
        <f aca="false">MID(N215,O215+1,P215-O215-1)</f>
        <v>David</v>
      </c>
      <c r="T215" s="26" t="str">
        <f aca="false">MID(N215,P215+1,Q215-P215-1)</f>
        <v>20171025</v>
      </c>
      <c r="U215" s="26" t="n">
        <f aca="false">VALUE(MID(N215,Q215+2,90))</f>
        <v>0</v>
      </c>
      <c r="V215" s="27" t="n">
        <f aca="false">DATE(2017,10,MID(T215,7,2))</f>
        <v>43033</v>
      </c>
    </row>
    <row r="216" customFormat="false" ht="14.25" hidden="false" customHeight="false" outlineLevel="0" collapsed="false">
      <c r="A216" s="23" t="n">
        <f aca="false">A215+1</f>
        <v>212</v>
      </c>
      <c r="B216" s="14" t="s">
        <v>230</v>
      </c>
      <c r="C216" s="21" t="n">
        <f aca="false">CODE(RIGHT(B216,1))</f>
        <v>30</v>
      </c>
      <c r="D216" s="14" t="str">
        <f aca="false">CLEAN(B216)</f>
        <v>///PR:Games_SP:David20171031    $1562  </v>
      </c>
      <c r="E216" s="21" t="n">
        <f aca="false">CODE(RIGHT(D216,1))</f>
        <v>32</v>
      </c>
      <c r="F216" s="14" t="str">
        <f aca="false">SUBSTITUTE(D216,_xlfn.UNICHAR(160)," ")</f>
        <v>///PR:Games_SP:David20171031    $1562  </v>
      </c>
      <c r="G216" s="14" t="str">
        <f aca="false">SUBSTITUTE(F216,"/","")</f>
        <v>PR:Games_SP:David20171031    $1562  </v>
      </c>
      <c r="H216" s="14" t="str">
        <f aca="false">SUBSTITUTE(G216,"_"," ")</f>
        <v>PR:Games SP:David20171031    $1562  </v>
      </c>
      <c r="I216" s="14" t="str">
        <f aca="false">TRIM(H216)</f>
        <v>PR:Games SP:David20171031 $1562</v>
      </c>
      <c r="J216" s="21" t="n">
        <f aca="false">LEN(I216)</f>
        <v>31</v>
      </c>
      <c r="K216" s="21" t="n">
        <f aca="false">CODE(RIGHT(I216,1))</f>
        <v>50</v>
      </c>
      <c r="L216" s="14" t="str">
        <f aca="false">SUBSTITUTE(I216,"PR:","")</f>
        <v>Games SP:David20171031 $1562</v>
      </c>
      <c r="M216" s="14" t="str">
        <f aca="false">SUBSTITUTE(L216,"SP:","")</f>
        <v>Games David20171031 $1562</v>
      </c>
      <c r="N216" s="15" t="str">
        <f aca="false">SUBSTITUTE(M216,"201710"," 201710")</f>
        <v>Games David 20171031 $1562</v>
      </c>
      <c r="O216" s="21" t="n">
        <f aca="false">FIND(" ",N216)</f>
        <v>6</v>
      </c>
      <c r="P216" s="21" t="n">
        <f aca="false">FIND(" ",N216,O216+1)</f>
        <v>12</v>
      </c>
      <c r="Q216" s="21" t="n">
        <f aca="false">FIND(" ",N216,P216+1)</f>
        <v>21</v>
      </c>
      <c r="R216" s="26" t="str">
        <f aca="false">LEFT(N216,O216-1)</f>
        <v>Games</v>
      </c>
      <c r="S216" s="26" t="str">
        <f aca="false">MID(N216,O216+1,P216-O216-1)</f>
        <v>David</v>
      </c>
      <c r="T216" s="26" t="str">
        <f aca="false">MID(N216,P216+1,Q216-P216-1)</f>
        <v>20171031</v>
      </c>
      <c r="U216" s="26" t="n">
        <f aca="false">VALUE(MID(N216,Q216+2,90))</f>
        <v>1562</v>
      </c>
      <c r="V216" s="27" t="n">
        <f aca="false">DATE(2017,10,MID(T216,7,2))</f>
        <v>43039</v>
      </c>
    </row>
    <row r="217" customFormat="false" ht="14.25" hidden="false" customHeight="false" outlineLevel="0" collapsed="false">
      <c r="A217" s="23" t="n">
        <f aca="false">A216+1</f>
        <v>213</v>
      </c>
      <c r="B217" s="14" t="s">
        <v>231</v>
      </c>
      <c r="C217" s="21" t="n">
        <f aca="false">CODE(RIGHT(B217,1))</f>
        <v>29</v>
      </c>
      <c r="D217" s="14" t="str">
        <f aca="false">CLEAN(B217)</f>
        <v>/PR:Music___SP:Alice20171021 $1342    </v>
      </c>
      <c r="E217" s="21" t="n">
        <f aca="false">CODE(RIGHT(D217,1))</f>
        <v>32</v>
      </c>
      <c r="F217" s="14" t="str">
        <f aca="false">SUBSTITUTE(D217,_xlfn.UNICHAR(160)," ")</f>
        <v>/PR:Music___SP:Alice20171021 $1342    </v>
      </c>
      <c r="G217" s="14" t="str">
        <f aca="false">SUBSTITUTE(F217,"/","")</f>
        <v>PR:Music___SP:Alice20171021 $1342    </v>
      </c>
      <c r="H217" s="14" t="str">
        <f aca="false">SUBSTITUTE(G217,"_"," ")</f>
        <v>PR:Music   SP:Alice20171021 $1342    </v>
      </c>
      <c r="I217" s="14" t="str">
        <f aca="false">TRIM(H217)</f>
        <v>PR:Music SP:Alice20171021 $1342</v>
      </c>
      <c r="J217" s="21" t="n">
        <f aca="false">LEN(I217)</f>
        <v>31</v>
      </c>
      <c r="K217" s="21" t="n">
        <f aca="false">CODE(RIGHT(I217,1))</f>
        <v>50</v>
      </c>
      <c r="L217" s="14" t="str">
        <f aca="false">SUBSTITUTE(I217,"PR:","")</f>
        <v>Music SP:Alice20171021 $1342</v>
      </c>
      <c r="M217" s="14" t="str">
        <f aca="false">SUBSTITUTE(L217,"SP:","")</f>
        <v>Music Alice20171021 $1342</v>
      </c>
      <c r="N217" s="15" t="str">
        <f aca="false">SUBSTITUTE(M217,"201710"," 201710")</f>
        <v>Music Alice 20171021 $1342</v>
      </c>
      <c r="O217" s="21" t="n">
        <f aca="false">FIND(" ",N217)</f>
        <v>6</v>
      </c>
      <c r="P217" s="21" t="n">
        <f aca="false">FIND(" ",N217,O217+1)</f>
        <v>12</v>
      </c>
      <c r="Q217" s="21" t="n">
        <f aca="false">FIND(" ",N217,P217+1)</f>
        <v>21</v>
      </c>
      <c r="R217" s="26" t="str">
        <f aca="false">LEFT(N217,O217-1)</f>
        <v>Music</v>
      </c>
      <c r="S217" s="26" t="str">
        <f aca="false">MID(N217,O217+1,P217-O217-1)</f>
        <v>Alice</v>
      </c>
      <c r="T217" s="26" t="str">
        <f aca="false">MID(N217,P217+1,Q217-P217-1)</f>
        <v>20171021</v>
      </c>
      <c r="U217" s="26" t="n">
        <f aca="false">VALUE(MID(N217,Q217+2,90))</f>
        <v>1342</v>
      </c>
      <c r="V217" s="27" t="n">
        <f aca="false">DATE(2017,10,MID(T217,7,2))</f>
        <v>43029</v>
      </c>
    </row>
    <row r="218" customFormat="false" ht="14.25" hidden="false" customHeight="false" outlineLevel="0" collapsed="false">
      <c r="A218" s="23" t="n">
        <f aca="false">A217+1</f>
        <v>214</v>
      </c>
      <c r="B218" s="14" t="s">
        <v>232</v>
      </c>
      <c r="C218" s="21" t="n">
        <f aca="false">CODE(RIGHT(B218,1))</f>
        <v>31</v>
      </c>
      <c r="D218" s="14" t="str">
        <f aca="false">CLEAN(B218)</f>
        <v>////PR:Music__SP:David2017103     $0 </v>
      </c>
      <c r="E218" s="21" t="n">
        <f aca="false">CODE(RIGHT(D218,1))</f>
        <v>32</v>
      </c>
      <c r="F218" s="14" t="str">
        <f aca="false">SUBSTITUTE(D218,_xlfn.UNICHAR(160)," ")</f>
        <v>////PR:Music__SP:David2017103     $0 </v>
      </c>
      <c r="G218" s="14" t="str">
        <f aca="false">SUBSTITUTE(F218,"/","")</f>
        <v>PR:Music__SP:David2017103     $0 </v>
      </c>
      <c r="H218" s="14" t="str">
        <f aca="false">SUBSTITUTE(G218,"_"," ")</f>
        <v>PR:Music  SP:David2017103     $0 </v>
      </c>
      <c r="I218" s="14" t="str">
        <f aca="false">TRIM(H218)</f>
        <v>PR:Music SP:David2017103 $0</v>
      </c>
      <c r="J218" s="21" t="n">
        <f aca="false">LEN(I218)</f>
        <v>27</v>
      </c>
      <c r="K218" s="21" t="n">
        <f aca="false">CODE(RIGHT(I218,1))</f>
        <v>48</v>
      </c>
      <c r="L218" s="14" t="str">
        <f aca="false">SUBSTITUTE(I218,"PR:","")</f>
        <v>Music SP:David2017103 $0</v>
      </c>
      <c r="M218" s="14" t="str">
        <f aca="false">SUBSTITUTE(L218,"SP:","")</f>
        <v>Music David2017103 $0</v>
      </c>
      <c r="N218" s="15" t="str">
        <f aca="false">SUBSTITUTE(M218,"201710"," 201710")</f>
        <v>Music David 2017103 $0</v>
      </c>
      <c r="O218" s="21" t="n">
        <f aca="false">FIND(" ",N218)</f>
        <v>6</v>
      </c>
      <c r="P218" s="21" t="n">
        <f aca="false">FIND(" ",N218,O218+1)</f>
        <v>12</v>
      </c>
      <c r="Q218" s="21" t="n">
        <f aca="false">FIND(" ",N218,P218+1)</f>
        <v>20</v>
      </c>
      <c r="R218" s="26" t="str">
        <f aca="false">LEFT(N218,O218-1)</f>
        <v>Music</v>
      </c>
      <c r="S218" s="26" t="str">
        <f aca="false">MID(N218,O218+1,P218-O218-1)</f>
        <v>David</v>
      </c>
      <c r="T218" s="26" t="str">
        <f aca="false">MID(N218,P218+1,Q218-P218-1)</f>
        <v>2017103</v>
      </c>
      <c r="U218" s="26" t="n">
        <f aca="false">VALUE(MID(N218,Q218+2,90))</f>
        <v>0</v>
      </c>
      <c r="V218" s="27" t="n">
        <f aca="false">DATE(2017,10,MID(T218,7,2))</f>
        <v>43011</v>
      </c>
    </row>
    <row r="219" customFormat="false" ht="14.25" hidden="false" customHeight="false" outlineLevel="0" collapsed="false">
      <c r="A219" s="23" t="n">
        <f aca="false">A218+1</f>
        <v>215</v>
      </c>
      <c r="B219" s="14" t="s">
        <v>233</v>
      </c>
      <c r="C219" s="21" t="n">
        <f aca="false">CODE(RIGHT(B219,1))</f>
        <v>31</v>
      </c>
      <c r="D219" s="14" t="str">
        <f aca="false">CLEAN(B219)</f>
        <v>/PR:Games____SP:Alice20171017     $892 </v>
      </c>
      <c r="E219" s="21" t="n">
        <f aca="false">CODE(RIGHT(D219,1))</f>
        <v>32</v>
      </c>
      <c r="F219" s="14" t="str">
        <f aca="false">SUBSTITUTE(D219,_xlfn.UNICHAR(160)," ")</f>
        <v>/PR:Games____SP:Alice20171017     $892 </v>
      </c>
      <c r="G219" s="14" t="str">
        <f aca="false">SUBSTITUTE(F219,"/","")</f>
        <v>PR:Games____SP:Alice20171017     $892 </v>
      </c>
      <c r="H219" s="14" t="str">
        <f aca="false">SUBSTITUTE(G219,"_"," ")</f>
        <v>PR:Games    SP:Alice20171017     $892 </v>
      </c>
      <c r="I219" s="14" t="str">
        <f aca="false">TRIM(H219)</f>
        <v>PR:Games SP:Alice20171017 $892</v>
      </c>
      <c r="J219" s="21" t="n">
        <f aca="false">LEN(I219)</f>
        <v>30</v>
      </c>
      <c r="K219" s="21" t="n">
        <f aca="false">CODE(RIGHT(I219,1))</f>
        <v>50</v>
      </c>
      <c r="L219" s="14" t="str">
        <f aca="false">SUBSTITUTE(I219,"PR:","")</f>
        <v>Games SP:Alice20171017 $892</v>
      </c>
      <c r="M219" s="14" t="str">
        <f aca="false">SUBSTITUTE(L219,"SP:","")</f>
        <v>Games Alice20171017 $892</v>
      </c>
      <c r="N219" s="15" t="str">
        <f aca="false">SUBSTITUTE(M219,"201710"," 201710")</f>
        <v>Games Alice 20171017 $892</v>
      </c>
      <c r="O219" s="21" t="n">
        <f aca="false">FIND(" ",N219)</f>
        <v>6</v>
      </c>
      <c r="P219" s="21" t="n">
        <f aca="false">FIND(" ",N219,O219+1)</f>
        <v>12</v>
      </c>
      <c r="Q219" s="21" t="n">
        <f aca="false">FIND(" ",N219,P219+1)</f>
        <v>21</v>
      </c>
      <c r="R219" s="26" t="str">
        <f aca="false">LEFT(N219,O219-1)</f>
        <v>Games</v>
      </c>
      <c r="S219" s="26" t="str">
        <f aca="false">MID(N219,O219+1,P219-O219-1)</f>
        <v>Alice</v>
      </c>
      <c r="T219" s="26" t="str">
        <f aca="false">MID(N219,P219+1,Q219-P219-1)</f>
        <v>20171017</v>
      </c>
      <c r="U219" s="26" t="n">
        <f aca="false">VALUE(MID(N219,Q219+2,90))</f>
        <v>892</v>
      </c>
      <c r="V219" s="27" t="n">
        <f aca="false">DATE(2017,10,MID(T219,7,2))</f>
        <v>43025</v>
      </c>
    </row>
    <row r="220" customFormat="false" ht="14.25" hidden="false" customHeight="false" outlineLevel="0" collapsed="false">
      <c r="A220" s="23" t="n">
        <f aca="false">A219+1</f>
        <v>216</v>
      </c>
      <c r="B220" s="14" t="s">
        <v>234</v>
      </c>
      <c r="C220" s="21" t="n">
        <f aca="false">CODE(RIGHT(B220,1))</f>
        <v>30</v>
      </c>
      <c r="D220" s="14" t="str">
        <f aca="false">CLEAN(B220)</f>
        <v>//PR:Music_SP:Alice20171014    $1236    </v>
      </c>
      <c r="E220" s="21" t="n">
        <f aca="false">CODE(RIGHT(D220,1))</f>
        <v>32</v>
      </c>
      <c r="F220" s="14" t="str">
        <f aca="false">SUBSTITUTE(D220,_xlfn.UNICHAR(160)," ")</f>
        <v>//PR:Music_SP:Alice20171014    $1236    </v>
      </c>
      <c r="G220" s="14" t="str">
        <f aca="false">SUBSTITUTE(F220,"/","")</f>
        <v>PR:Music_SP:Alice20171014    $1236    </v>
      </c>
      <c r="H220" s="14" t="str">
        <f aca="false">SUBSTITUTE(G220,"_"," ")</f>
        <v>PR:Music SP:Alice20171014    $1236    </v>
      </c>
      <c r="I220" s="14" t="str">
        <f aca="false">TRIM(H220)</f>
        <v>PR:Music SP:Alice20171014 $1236</v>
      </c>
      <c r="J220" s="21" t="n">
        <f aca="false">LEN(I220)</f>
        <v>31</v>
      </c>
      <c r="K220" s="21" t="n">
        <f aca="false">CODE(RIGHT(I220,1))</f>
        <v>54</v>
      </c>
      <c r="L220" s="14" t="str">
        <f aca="false">SUBSTITUTE(I220,"PR:","")</f>
        <v>Music SP:Alice20171014 $1236</v>
      </c>
      <c r="M220" s="14" t="str">
        <f aca="false">SUBSTITUTE(L220,"SP:","")</f>
        <v>Music Alice20171014 $1236</v>
      </c>
      <c r="N220" s="15" t="str">
        <f aca="false">SUBSTITUTE(M220,"201710"," 201710")</f>
        <v>Music Alice 20171014 $1236</v>
      </c>
      <c r="O220" s="21" t="n">
        <f aca="false">FIND(" ",N220)</f>
        <v>6</v>
      </c>
      <c r="P220" s="21" t="n">
        <f aca="false">FIND(" ",N220,O220+1)</f>
        <v>12</v>
      </c>
      <c r="Q220" s="21" t="n">
        <f aca="false">FIND(" ",N220,P220+1)</f>
        <v>21</v>
      </c>
      <c r="R220" s="26" t="str">
        <f aca="false">LEFT(N220,O220-1)</f>
        <v>Music</v>
      </c>
      <c r="S220" s="26" t="str">
        <f aca="false">MID(N220,O220+1,P220-O220-1)</f>
        <v>Alice</v>
      </c>
      <c r="T220" s="26" t="str">
        <f aca="false">MID(N220,P220+1,Q220-P220-1)</f>
        <v>20171014</v>
      </c>
      <c r="U220" s="26" t="n">
        <f aca="false">VALUE(MID(N220,Q220+2,90))</f>
        <v>1236</v>
      </c>
      <c r="V220" s="27" t="n">
        <f aca="false">DATE(2017,10,MID(T220,7,2))</f>
        <v>43022</v>
      </c>
    </row>
    <row r="221" customFormat="false" ht="14.25" hidden="false" customHeight="false" outlineLevel="0" collapsed="false">
      <c r="A221" s="23" t="n">
        <f aca="false">A220+1</f>
        <v>217</v>
      </c>
      <c r="B221" s="14" t="s">
        <v>235</v>
      </c>
      <c r="C221" s="21" t="n">
        <f aca="false">CODE(RIGHT(B221,1))</f>
        <v>29</v>
      </c>
      <c r="D221" s="14" t="str">
        <f aca="false">CLEAN(B221)</f>
        <v>/PR:Games____SP:Carol20171019    $1289  </v>
      </c>
      <c r="E221" s="21" t="n">
        <f aca="false">CODE(RIGHT(D221,1))</f>
        <v>32</v>
      </c>
      <c r="F221" s="14" t="str">
        <f aca="false">SUBSTITUTE(D221,_xlfn.UNICHAR(160)," ")</f>
        <v>/PR:Games____SP:Carol20171019    $1289  </v>
      </c>
      <c r="G221" s="14" t="str">
        <f aca="false">SUBSTITUTE(F221,"/","")</f>
        <v>PR:Games____SP:Carol20171019    $1289  </v>
      </c>
      <c r="H221" s="14" t="str">
        <f aca="false">SUBSTITUTE(G221,"_"," ")</f>
        <v>PR:Games    SP:Carol20171019    $1289  </v>
      </c>
      <c r="I221" s="14" t="str">
        <f aca="false">TRIM(H221)</f>
        <v>PR:Games SP:Carol20171019 $1289</v>
      </c>
      <c r="J221" s="21" t="n">
        <f aca="false">LEN(I221)</f>
        <v>31</v>
      </c>
      <c r="K221" s="21" t="n">
        <f aca="false">CODE(RIGHT(I221,1))</f>
        <v>57</v>
      </c>
      <c r="L221" s="14" t="str">
        <f aca="false">SUBSTITUTE(I221,"PR:","")</f>
        <v>Games SP:Carol20171019 $1289</v>
      </c>
      <c r="M221" s="14" t="str">
        <f aca="false">SUBSTITUTE(L221,"SP:","")</f>
        <v>Games Carol20171019 $1289</v>
      </c>
      <c r="N221" s="15" t="str">
        <f aca="false">SUBSTITUTE(M221,"201710"," 201710")</f>
        <v>Games Carol 20171019 $1289</v>
      </c>
      <c r="O221" s="21" t="n">
        <f aca="false">FIND(" ",N221)</f>
        <v>6</v>
      </c>
      <c r="P221" s="21" t="n">
        <f aca="false">FIND(" ",N221,O221+1)</f>
        <v>12</v>
      </c>
      <c r="Q221" s="21" t="n">
        <f aca="false">FIND(" ",N221,P221+1)</f>
        <v>21</v>
      </c>
      <c r="R221" s="26" t="str">
        <f aca="false">LEFT(N221,O221-1)</f>
        <v>Games</v>
      </c>
      <c r="S221" s="26" t="str">
        <f aca="false">MID(N221,O221+1,P221-O221-1)</f>
        <v>Carol</v>
      </c>
      <c r="T221" s="26" t="str">
        <f aca="false">MID(N221,P221+1,Q221-P221-1)</f>
        <v>20171019</v>
      </c>
      <c r="U221" s="26" t="n">
        <f aca="false">VALUE(MID(N221,Q221+2,90))</f>
        <v>1289</v>
      </c>
      <c r="V221" s="27" t="n">
        <f aca="false">DATE(2017,10,MID(T221,7,2))</f>
        <v>43027</v>
      </c>
    </row>
    <row r="222" customFormat="false" ht="14.25" hidden="false" customHeight="false" outlineLevel="0" collapsed="false">
      <c r="A222" s="23" t="n">
        <f aca="false">A221+1</f>
        <v>218</v>
      </c>
      <c r="B222" s="14" t="s">
        <v>236</v>
      </c>
      <c r="C222" s="21" t="n">
        <f aca="false">CODE(RIGHT(B222,1))</f>
        <v>29</v>
      </c>
      <c r="D222" s="14" t="str">
        <f aca="false">CLEAN(B222)</f>
        <v>/////PR:Clothing___SP:David20171016   $1414    </v>
      </c>
      <c r="E222" s="21" t="n">
        <f aca="false">CODE(RIGHT(D222,1))</f>
        <v>32</v>
      </c>
      <c r="F222" s="14" t="str">
        <f aca="false">SUBSTITUTE(D222,_xlfn.UNICHAR(160)," ")</f>
        <v>/////PR:Clothing___SP:David20171016   $1414    </v>
      </c>
      <c r="G222" s="14" t="str">
        <f aca="false">SUBSTITUTE(F222,"/","")</f>
        <v>PR:Clothing___SP:David20171016   $1414    </v>
      </c>
      <c r="H222" s="14" t="str">
        <f aca="false">SUBSTITUTE(G222,"_"," ")</f>
        <v>PR:Clothing   SP:David20171016   $1414    </v>
      </c>
      <c r="I222" s="14" t="str">
        <f aca="false">TRIM(H222)</f>
        <v>PR:Clothing SP:David20171016 $1414</v>
      </c>
      <c r="J222" s="21" t="n">
        <f aca="false">LEN(I222)</f>
        <v>34</v>
      </c>
      <c r="K222" s="21" t="n">
        <f aca="false">CODE(RIGHT(I222,1))</f>
        <v>52</v>
      </c>
      <c r="L222" s="14" t="str">
        <f aca="false">SUBSTITUTE(I222,"PR:","")</f>
        <v>Clothing SP:David20171016 $1414</v>
      </c>
      <c r="M222" s="14" t="str">
        <f aca="false">SUBSTITUTE(L222,"SP:","")</f>
        <v>Clothing David20171016 $1414</v>
      </c>
      <c r="N222" s="15" t="str">
        <f aca="false">SUBSTITUTE(M222,"201710"," 201710")</f>
        <v>Clothing David 20171016 $1414</v>
      </c>
      <c r="O222" s="21" t="n">
        <f aca="false">FIND(" ",N222)</f>
        <v>9</v>
      </c>
      <c r="P222" s="21" t="n">
        <f aca="false">FIND(" ",N222,O222+1)</f>
        <v>15</v>
      </c>
      <c r="Q222" s="21" t="n">
        <f aca="false">FIND(" ",N222,P222+1)</f>
        <v>24</v>
      </c>
      <c r="R222" s="26" t="str">
        <f aca="false">LEFT(N222,O222-1)</f>
        <v>Clothing</v>
      </c>
      <c r="S222" s="26" t="str">
        <f aca="false">MID(N222,O222+1,P222-O222-1)</f>
        <v>David</v>
      </c>
      <c r="T222" s="26" t="str">
        <f aca="false">MID(N222,P222+1,Q222-P222-1)</f>
        <v>20171016</v>
      </c>
      <c r="U222" s="26" t="n">
        <f aca="false">VALUE(MID(N222,Q222+2,90))</f>
        <v>1414</v>
      </c>
      <c r="V222" s="27" t="n">
        <f aca="false">DATE(2017,10,MID(T222,7,2))</f>
        <v>43024</v>
      </c>
    </row>
    <row r="223" customFormat="false" ht="14.25" hidden="false" customHeight="false" outlineLevel="0" collapsed="false">
      <c r="A223" s="23" t="n">
        <f aca="false">A222+1</f>
        <v>219</v>
      </c>
      <c r="B223" s="14" t="s">
        <v>237</v>
      </c>
      <c r="C223" s="21" t="n">
        <f aca="false">CODE(RIGHT(B223,1))</f>
        <v>29</v>
      </c>
      <c r="D223" s="14" t="str">
        <f aca="false">CLEAN(B223)</f>
        <v>/PR:Music__SP:Barney2017107     $984   </v>
      </c>
      <c r="E223" s="21" t="n">
        <f aca="false">CODE(RIGHT(D223,1))</f>
        <v>32</v>
      </c>
      <c r="F223" s="14" t="str">
        <f aca="false">SUBSTITUTE(D223,_xlfn.UNICHAR(160)," ")</f>
        <v>/PR:Music__SP:Barney2017107     $984   </v>
      </c>
      <c r="G223" s="14" t="str">
        <f aca="false">SUBSTITUTE(F223,"/","")</f>
        <v>PR:Music__SP:Barney2017107     $984   </v>
      </c>
      <c r="H223" s="14" t="str">
        <f aca="false">SUBSTITUTE(G223,"_"," ")</f>
        <v>PR:Music  SP:Barney2017107     $984   </v>
      </c>
      <c r="I223" s="14" t="str">
        <f aca="false">TRIM(H223)</f>
        <v>PR:Music SP:Barney2017107 $984</v>
      </c>
      <c r="J223" s="21" t="n">
        <f aca="false">LEN(I223)</f>
        <v>30</v>
      </c>
      <c r="K223" s="21" t="n">
        <f aca="false">CODE(RIGHT(I223,1))</f>
        <v>52</v>
      </c>
      <c r="L223" s="14" t="str">
        <f aca="false">SUBSTITUTE(I223,"PR:","")</f>
        <v>Music SP:Barney2017107 $984</v>
      </c>
      <c r="M223" s="14" t="str">
        <f aca="false">SUBSTITUTE(L223,"SP:","")</f>
        <v>Music Barney2017107 $984</v>
      </c>
      <c r="N223" s="15" t="str">
        <f aca="false">SUBSTITUTE(M223,"201710"," 201710")</f>
        <v>Music Barney 2017107 $984</v>
      </c>
      <c r="O223" s="21" t="n">
        <f aca="false">FIND(" ",N223)</f>
        <v>6</v>
      </c>
      <c r="P223" s="21" t="n">
        <f aca="false">FIND(" ",N223,O223+1)</f>
        <v>13</v>
      </c>
      <c r="Q223" s="21" t="n">
        <f aca="false">FIND(" ",N223,P223+1)</f>
        <v>21</v>
      </c>
      <c r="R223" s="26" t="str">
        <f aca="false">LEFT(N223,O223-1)</f>
        <v>Music</v>
      </c>
      <c r="S223" s="26" t="str">
        <f aca="false">MID(N223,O223+1,P223-O223-1)</f>
        <v>Barney</v>
      </c>
      <c r="T223" s="26" t="str">
        <f aca="false">MID(N223,P223+1,Q223-P223-1)</f>
        <v>2017107</v>
      </c>
      <c r="U223" s="26" t="n">
        <f aca="false">VALUE(MID(N223,Q223+2,90))</f>
        <v>984</v>
      </c>
      <c r="V223" s="27" t="n">
        <f aca="false">DATE(2017,10,MID(T223,7,2))</f>
        <v>43015</v>
      </c>
    </row>
    <row r="224" customFormat="false" ht="14.25" hidden="false" customHeight="false" outlineLevel="0" collapsed="false">
      <c r="A224" s="23" t="n">
        <f aca="false">A223+1</f>
        <v>220</v>
      </c>
      <c r="B224" s="14" t="s">
        <v>238</v>
      </c>
      <c r="C224" s="21" t="n">
        <f aca="false">CODE(RIGHT(B224,1))</f>
        <v>30</v>
      </c>
      <c r="D224" s="14" t="str">
        <f aca="false">CLEAN(B224)</f>
        <v>//PR:Music__SP:Alice20171030     $0   </v>
      </c>
      <c r="E224" s="21" t="n">
        <f aca="false">CODE(RIGHT(D224,1))</f>
        <v>32</v>
      </c>
      <c r="F224" s="14" t="str">
        <f aca="false">SUBSTITUTE(D224,_xlfn.UNICHAR(160)," ")</f>
        <v>//PR:Music__SP:Alice20171030     $0   </v>
      </c>
      <c r="G224" s="14" t="str">
        <f aca="false">SUBSTITUTE(F224,"/","")</f>
        <v>PR:Music__SP:Alice20171030     $0   </v>
      </c>
      <c r="H224" s="14" t="str">
        <f aca="false">SUBSTITUTE(G224,"_"," ")</f>
        <v>PR:Music  SP:Alice20171030     $0   </v>
      </c>
      <c r="I224" s="14" t="str">
        <f aca="false">TRIM(H224)</f>
        <v>PR:Music SP:Alice20171030 $0</v>
      </c>
      <c r="J224" s="21" t="n">
        <f aca="false">LEN(I224)</f>
        <v>28</v>
      </c>
      <c r="K224" s="21" t="n">
        <f aca="false">CODE(RIGHT(I224,1))</f>
        <v>48</v>
      </c>
      <c r="L224" s="14" t="str">
        <f aca="false">SUBSTITUTE(I224,"PR:","")</f>
        <v>Music SP:Alice20171030 $0</v>
      </c>
      <c r="M224" s="14" t="str">
        <f aca="false">SUBSTITUTE(L224,"SP:","")</f>
        <v>Music Alice20171030 $0</v>
      </c>
      <c r="N224" s="15" t="str">
        <f aca="false">SUBSTITUTE(M224,"201710"," 201710")</f>
        <v>Music Alice 20171030 $0</v>
      </c>
      <c r="O224" s="21" t="n">
        <f aca="false">FIND(" ",N224)</f>
        <v>6</v>
      </c>
      <c r="P224" s="21" t="n">
        <f aca="false">FIND(" ",N224,O224+1)</f>
        <v>12</v>
      </c>
      <c r="Q224" s="21" t="n">
        <f aca="false">FIND(" ",N224,P224+1)</f>
        <v>21</v>
      </c>
      <c r="R224" s="26" t="str">
        <f aca="false">LEFT(N224,O224-1)</f>
        <v>Music</v>
      </c>
      <c r="S224" s="26" t="str">
        <f aca="false">MID(N224,O224+1,P224-O224-1)</f>
        <v>Alice</v>
      </c>
      <c r="T224" s="26" t="str">
        <f aca="false">MID(N224,P224+1,Q224-P224-1)</f>
        <v>20171030</v>
      </c>
      <c r="U224" s="26" t="n">
        <f aca="false">VALUE(MID(N224,Q224+2,90))</f>
        <v>0</v>
      </c>
      <c r="V224" s="27" t="n">
        <f aca="false">DATE(2017,10,MID(T224,7,2))</f>
        <v>43038</v>
      </c>
    </row>
    <row r="225" customFormat="false" ht="14.25" hidden="false" customHeight="false" outlineLevel="0" collapsed="false">
      <c r="A225" s="23" t="n">
        <f aca="false">A224+1</f>
        <v>221</v>
      </c>
      <c r="B225" s="14" t="s">
        <v>239</v>
      </c>
      <c r="C225" s="21" t="n">
        <f aca="false">CODE(RIGHT(B225,1))</f>
        <v>28</v>
      </c>
      <c r="D225" s="14" t="str">
        <f aca="false">CLEAN(B225)</f>
        <v>////PR:Books_SP:David20171013   $0   </v>
      </c>
      <c r="E225" s="21" t="n">
        <f aca="false">CODE(RIGHT(D225,1))</f>
        <v>32</v>
      </c>
      <c r="F225" s="14" t="str">
        <f aca="false">SUBSTITUTE(D225,_xlfn.UNICHAR(160)," ")</f>
        <v>////PR:Books_SP:David20171013   $0   </v>
      </c>
      <c r="G225" s="14" t="str">
        <f aca="false">SUBSTITUTE(F225,"/","")</f>
        <v>PR:Books_SP:David20171013   $0   </v>
      </c>
      <c r="H225" s="14" t="str">
        <f aca="false">SUBSTITUTE(G225,"_"," ")</f>
        <v>PR:Books SP:David20171013   $0   </v>
      </c>
      <c r="I225" s="14" t="str">
        <f aca="false">TRIM(H225)</f>
        <v>PR:Books SP:David20171013 $0</v>
      </c>
      <c r="J225" s="21" t="n">
        <f aca="false">LEN(I225)</f>
        <v>28</v>
      </c>
      <c r="K225" s="21" t="n">
        <f aca="false">CODE(RIGHT(I225,1))</f>
        <v>48</v>
      </c>
      <c r="L225" s="14" t="str">
        <f aca="false">SUBSTITUTE(I225,"PR:","")</f>
        <v>Books SP:David20171013 $0</v>
      </c>
      <c r="M225" s="14" t="str">
        <f aca="false">SUBSTITUTE(L225,"SP:","")</f>
        <v>Books David20171013 $0</v>
      </c>
      <c r="N225" s="15" t="str">
        <f aca="false">SUBSTITUTE(M225,"201710"," 201710")</f>
        <v>Books David 20171013 $0</v>
      </c>
      <c r="O225" s="21" t="n">
        <f aca="false">FIND(" ",N225)</f>
        <v>6</v>
      </c>
      <c r="P225" s="21" t="n">
        <f aca="false">FIND(" ",N225,O225+1)</f>
        <v>12</v>
      </c>
      <c r="Q225" s="21" t="n">
        <f aca="false">FIND(" ",N225,P225+1)</f>
        <v>21</v>
      </c>
      <c r="R225" s="26" t="str">
        <f aca="false">LEFT(N225,O225-1)</f>
        <v>Books</v>
      </c>
      <c r="S225" s="26" t="str">
        <f aca="false">MID(N225,O225+1,P225-O225-1)</f>
        <v>David</v>
      </c>
      <c r="T225" s="26" t="str">
        <f aca="false">MID(N225,P225+1,Q225-P225-1)</f>
        <v>20171013</v>
      </c>
      <c r="U225" s="26" t="n">
        <f aca="false">VALUE(MID(N225,Q225+2,90))</f>
        <v>0</v>
      </c>
      <c r="V225" s="27" t="n">
        <f aca="false">DATE(2017,10,MID(T225,7,2))</f>
        <v>43021</v>
      </c>
    </row>
    <row r="226" customFormat="false" ht="14.25" hidden="false" customHeight="false" outlineLevel="0" collapsed="false">
      <c r="A226" s="23" t="n">
        <f aca="false">A225+1</f>
        <v>222</v>
      </c>
      <c r="B226" s="14" t="s">
        <v>240</v>
      </c>
      <c r="C226" s="21" t="n">
        <f aca="false">CODE(RIGHT(B226,1))</f>
        <v>31</v>
      </c>
      <c r="D226" s="14" t="str">
        <f aca="false">CLEAN(B226)</f>
        <v>///PR:Clothing_SP:Barney2017108    $718  </v>
      </c>
      <c r="E226" s="21" t="n">
        <f aca="false">CODE(RIGHT(D226,1))</f>
        <v>32</v>
      </c>
      <c r="F226" s="14" t="str">
        <f aca="false">SUBSTITUTE(D226,_xlfn.UNICHAR(160)," ")</f>
        <v>///PR:Clothing_SP:Barney2017108    $718  </v>
      </c>
      <c r="G226" s="14" t="str">
        <f aca="false">SUBSTITUTE(F226,"/","")</f>
        <v>PR:Clothing_SP:Barney2017108    $718  </v>
      </c>
      <c r="H226" s="14" t="str">
        <f aca="false">SUBSTITUTE(G226,"_"," ")</f>
        <v>PR:Clothing SP:Barney2017108    $718  </v>
      </c>
      <c r="I226" s="14" t="str">
        <f aca="false">TRIM(H226)</f>
        <v>PR:Clothing SP:Barney2017108 $718</v>
      </c>
      <c r="J226" s="21" t="n">
        <f aca="false">LEN(I226)</f>
        <v>33</v>
      </c>
      <c r="K226" s="21" t="n">
        <f aca="false">CODE(RIGHT(I226,1))</f>
        <v>56</v>
      </c>
      <c r="L226" s="14" t="str">
        <f aca="false">SUBSTITUTE(I226,"PR:","")</f>
        <v>Clothing SP:Barney2017108 $718</v>
      </c>
      <c r="M226" s="14" t="str">
        <f aca="false">SUBSTITUTE(L226,"SP:","")</f>
        <v>Clothing Barney2017108 $718</v>
      </c>
      <c r="N226" s="15" t="str">
        <f aca="false">SUBSTITUTE(M226,"201710"," 201710")</f>
        <v>Clothing Barney 2017108 $718</v>
      </c>
      <c r="O226" s="21" t="n">
        <f aca="false">FIND(" ",N226)</f>
        <v>9</v>
      </c>
      <c r="P226" s="21" t="n">
        <f aca="false">FIND(" ",N226,O226+1)</f>
        <v>16</v>
      </c>
      <c r="Q226" s="21" t="n">
        <f aca="false">FIND(" ",N226,P226+1)</f>
        <v>24</v>
      </c>
      <c r="R226" s="26" t="str">
        <f aca="false">LEFT(N226,O226-1)</f>
        <v>Clothing</v>
      </c>
      <c r="S226" s="26" t="str">
        <f aca="false">MID(N226,O226+1,P226-O226-1)</f>
        <v>Barney</v>
      </c>
      <c r="T226" s="26" t="str">
        <f aca="false">MID(N226,P226+1,Q226-P226-1)</f>
        <v>2017108</v>
      </c>
      <c r="U226" s="26" t="n">
        <f aca="false">VALUE(MID(N226,Q226+2,90))</f>
        <v>718</v>
      </c>
      <c r="V226" s="27" t="n">
        <f aca="false">DATE(2017,10,MID(T226,7,2))</f>
        <v>43016</v>
      </c>
    </row>
    <row r="227" customFormat="false" ht="14.25" hidden="false" customHeight="false" outlineLevel="0" collapsed="false">
      <c r="A227" s="23" t="n">
        <f aca="false">A226+1</f>
        <v>223</v>
      </c>
      <c r="B227" s="14" t="s">
        <v>241</v>
      </c>
      <c r="C227" s="21" t="n">
        <f aca="false">CODE(RIGHT(B227,1))</f>
        <v>29</v>
      </c>
      <c r="D227" s="14" t="str">
        <f aca="false">CLEAN(B227)</f>
        <v>/////PR:Music_SP:Alice2017103   $0 </v>
      </c>
      <c r="E227" s="21" t="n">
        <f aca="false">CODE(RIGHT(D227,1))</f>
        <v>32</v>
      </c>
      <c r="F227" s="14" t="str">
        <f aca="false">SUBSTITUTE(D227,_xlfn.UNICHAR(160)," ")</f>
        <v>/////PR:Music_SP:Alice2017103   $0 </v>
      </c>
      <c r="G227" s="14" t="str">
        <f aca="false">SUBSTITUTE(F227,"/","")</f>
        <v>PR:Music_SP:Alice2017103   $0 </v>
      </c>
      <c r="H227" s="14" t="str">
        <f aca="false">SUBSTITUTE(G227,"_"," ")</f>
        <v>PR:Music SP:Alice2017103   $0 </v>
      </c>
      <c r="I227" s="14" t="str">
        <f aca="false">TRIM(H227)</f>
        <v>PR:Music SP:Alice2017103 $0</v>
      </c>
      <c r="J227" s="21" t="n">
        <f aca="false">LEN(I227)</f>
        <v>27</v>
      </c>
      <c r="K227" s="21" t="n">
        <f aca="false">CODE(RIGHT(I227,1))</f>
        <v>48</v>
      </c>
      <c r="L227" s="14" t="str">
        <f aca="false">SUBSTITUTE(I227,"PR:","")</f>
        <v>Music SP:Alice2017103 $0</v>
      </c>
      <c r="M227" s="14" t="str">
        <f aca="false">SUBSTITUTE(L227,"SP:","")</f>
        <v>Music Alice2017103 $0</v>
      </c>
      <c r="N227" s="15" t="str">
        <f aca="false">SUBSTITUTE(M227,"201710"," 201710")</f>
        <v>Music Alice 2017103 $0</v>
      </c>
      <c r="O227" s="21" t="n">
        <f aca="false">FIND(" ",N227)</f>
        <v>6</v>
      </c>
      <c r="P227" s="21" t="n">
        <f aca="false">FIND(" ",N227,O227+1)</f>
        <v>12</v>
      </c>
      <c r="Q227" s="21" t="n">
        <f aca="false">FIND(" ",N227,P227+1)</f>
        <v>20</v>
      </c>
      <c r="R227" s="26" t="str">
        <f aca="false">LEFT(N227,O227-1)</f>
        <v>Music</v>
      </c>
      <c r="S227" s="26" t="str">
        <f aca="false">MID(N227,O227+1,P227-O227-1)</f>
        <v>Alice</v>
      </c>
      <c r="T227" s="26" t="str">
        <f aca="false">MID(N227,P227+1,Q227-P227-1)</f>
        <v>2017103</v>
      </c>
      <c r="U227" s="26" t="n">
        <f aca="false">VALUE(MID(N227,Q227+2,90))</f>
        <v>0</v>
      </c>
      <c r="V227" s="27" t="n">
        <f aca="false">DATE(2017,10,MID(T227,7,2))</f>
        <v>43011</v>
      </c>
    </row>
    <row r="228" customFormat="false" ht="14.25" hidden="false" customHeight="false" outlineLevel="0" collapsed="false">
      <c r="A228" s="23" t="n">
        <f aca="false">A227+1</f>
        <v>224</v>
      </c>
      <c r="B228" s="14" t="s">
        <v>242</v>
      </c>
      <c r="C228" s="21" t="n">
        <f aca="false">CODE(RIGHT(B228,1))</f>
        <v>28</v>
      </c>
      <c r="D228" s="14" t="str">
        <f aca="false">CLEAN(B228)</f>
        <v>//PR:Music___SP:Alice2017102  $975 </v>
      </c>
      <c r="E228" s="21" t="n">
        <f aca="false">CODE(RIGHT(D228,1))</f>
        <v>32</v>
      </c>
      <c r="F228" s="14" t="str">
        <f aca="false">SUBSTITUTE(D228,_xlfn.UNICHAR(160)," ")</f>
        <v>//PR:Music___SP:Alice2017102  $975 </v>
      </c>
      <c r="G228" s="14" t="str">
        <f aca="false">SUBSTITUTE(F228,"/","")</f>
        <v>PR:Music___SP:Alice2017102  $975 </v>
      </c>
      <c r="H228" s="14" t="str">
        <f aca="false">SUBSTITUTE(G228,"_"," ")</f>
        <v>PR:Music   SP:Alice2017102  $975 </v>
      </c>
      <c r="I228" s="14" t="str">
        <f aca="false">TRIM(H228)</f>
        <v>PR:Music SP:Alice2017102 $975</v>
      </c>
      <c r="J228" s="21" t="n">
        <f aca="false">LEN(I228)</f>
        <v>29</v>
      </c>
      <c r="K228" s="21" t="n">
        <f aca="false">CODE(RIGHT(I228,1))</f>
        <v>53</v>
      </c>
      <c r="L228" s="14" t="str">
        <f aca="false">SUBSTITUTE(I228,"PR:","")</f>
        <v>Music SP:Alice2017102 $975</v>
      </c>
      <c r="M228" s="14" t="str">
        <f aca="false">SUBSTITUTE(L228,"SP:","")</f>
        <v>Music Alice2017102 $975</v>
      </c>
      <c r="N228" s="15" t="str">
        <f aca="false">SUBSTITUTE(M228,"201710"," 201710")</f>
        <v>Music Alice 2017102 $975</v>
      </c>
      <c r="O228" s="21" t="n">
        <f aca="false">FIND(" ",N228)</f>
        <v>6</v>
      </c>
      <c r="P228" s="21" t="n">
        <f aca="false">FIND(" ",N228,O228+1)</f>
        <v>12</v>
      </c>
      <c r="Q228" s="21" t="n">
        <f aca="false">FIND(" ",N228,P228+1)</f>
        <v>20</v>
      </c>
      <c r="R228" s="26" t="str">
        <f aca="false">LEFT(N228,O228-1)</f>
        <v>Music</v>
      </c>
      <c r="S228" s="26" t="str">
        <f aca="false">MID(N228,O228+1,P228-O228-1)</f>
        <v>Alice</v>
      </c>
      <c r="T228" s="26" t="str">
        <f aca="false">MID(N228,P228+1,Q228-P228-1)</f>
        <v>2017102</v>
      </c>
      <c r="U228" s="26" t="n">
        <f aca="false">VALUE(MID(N228,Q228+2,90))</f>
        <v>975</v>
      </c>
      <c r="V228" s="27" t="n">
        <f aca="false">DATE(2017,10,MID(T228,7,2))</f>
        <v>43010</v>
      </c>
    </row>
    <row r="229" customFormat="false" ht="14.25" hidden="false" customHeight="false" outlineLevel="0" collapsed="false">
      <c r="A229" s="23" t="n">
        <f aca="false">A228+1</f>
        <v>225</v>
      </c>
      <c r="B229" s="14" t="s">
        <v>243</v>
      </c>
      <c r="C229" s="21" t="n">
        <f aca="false">CODE(RIGHT(B229,1))</f>
        <v>29</v>
      </c>
      <c r="D229" s="14" t="str">
        <f aca="false">CLEAN(B229)</f>
        <v>///PR:Clothing_SP:David20171010     $1545   </v>
      </c>
      <c r="E229" s="21" t="n">
        <f aca="false">CODE(RIGHT(D229,1))</f>
        <v>32</v>
      </c>
      <c r="F229" s="14" t="str">
        <f aca="false">SUBSTITUTE(D229,_xlfn.UNICHAR(160)," ")</f>
        <v>///PR:Clothing_SP:David20171010     $1545   </v>
      </c>
      <c r="G229" s="14" t="str">
        <f aca="false">SUBSTITUTE(F229,"/","")</f>
        <v>PR:Clothing_SP:David20171010     $1545   </v>
      </c>
      <c r="H229" s="14" t="str">
        <f aca="false">SUBSTITUTE(G229,"_"," ")</f>
        <v>PR:Clothing SP:David20171010     $1545   </v>
      </c>
      <c r="I229" s="14" t="str">
        <f aca="false">TRIM(H229)</f>
        <v>PR:Clothing SP:David20171010 $1545</v>
      </c>
      <c r="J229" s="21" t="n">
        <f aca="false">LEN(I229)</f>
        <v>34</v>
      </c>
      <c r="K229" s="21" t="n">
        <f aca="false">CODE(RIGHT(I229,1))</f>
        <v>53</v>
      </c>
      <c r="L229" s="14" t="str">
        <f aca="false">SUBSTITUTE(I229,"PR:","")</f>
        <v>Clothing SP:David20171010 $1545</v>
      </c>
      <c r="M229" s="14" t="str">
        <f aca="false">SUBSTITUTE(L229,"SP:","")</f>
        <v>Clothing David20171010 $1545</v>
      </c>
      <c r="N229" s="15" t="str">
        <f aca="false">SUBSTITUTE(M229,"201710"," 201710")</f>
        <v>Clothing David 20171010 $1545</v>
      </c>
      <c r="O229" s="21" t="n">
        <f aca="false">FIND(" ",N229)</f>
        <v>9</v>
      </c>
      <c r="P229" s="21" t="n">
        <f aca="false">FIND(" ",N229,O229+1)</f>
        <v>15</v>
      </c>
      <c r="Q229" s="21" t="n">
        <f aca="false">FIND(" ",N229,P229+1)</f>
        <v>24</v>
      </c>
      <c r="R229" s="26" t="str">
        <f aca="false">LEFT(N229,O229-1)</f>
        <v>Clothing</v>
      </c>
      <c r="S229" s="26" t="str">
        <f aca="false">MID(N229,O229+1,P229-O229-1)</f>
        <v>David</v>
      </c>
      <c r="T229" s="26" t="str">
        <f aca="false">MID(N229,P229+1,Q229-P229-1)</f>
        <v>20171010</v>
      </c>
      <c r="U229" s="26" t="n">
        <f aca="false">VALUE(MID(N229,Q229+2,90))</f>
        <v>1545</v>
      </c>
      <c r="V229" s="27" t="n">
        <f aca="false">DATE(2017,10,MID(T229,7,2))</f>
        <v>43018</v>
      </c>
    </row>
    <row r="230" customFormat="false" ht="14.25" hidden="false" customHeight="false" outlineLevel="0" collapsed="false">
      <c r="A230" s="23" t="n">
        <f aca="false">A229+1</f>
        <v>226</v>
      </c>
      <c r="B230" s="14" t="s">
        <v>244</v>
      </c>
      <c r="C230" s="21" t="n">
        <f aca="false">CODE(RIGHT(B230,1))</f>
        <v>31</v>
      </c>
      <c r="D230" s="14" t="str">
        <f aca="false">CLEAN(B230)</f>
        <v>///PR:Music___SP:David2017106     $0 </v>
      </c>
      <c r="E230" s="21" t="n">
        <f aca="false">CODE(RIGHT(D230,1))</f>
        <v>32</v>
      </c>
      <c r="F230" s="14" t="str">
        <f aca="false">SUBSTITUTE(D230,_xlfn.UNICHAR(160)," ")</f>
        <v>///PR:Music___SP:David2017106     $0 </v>
      </c>
      <c r="G230" s="14" t="str">
        <f aca="false">SUBSTITUTE(F230,"/","")</f>
        <v>PR:Music___SP:David2017106     $0 </v>
      </c>
      <c r="H230" s="14" t="str">
        <f aca="false">SUBSTITUTE(G230,"_"," ")</f>
        <v>PR:Music   SP:David2017106     $0 </v>
      </c>
      <c r="I230" s="14" t="str">
        <f aca="false">TRIM(H230)</f>
        <v>PR:Music SP:David2017106 $0</v>
      </c>
      <c r="J230" s="21" t="n">
        <f aca="false">LEN(I230)</f>
        <v>27</v>
      </c>
      <c r="K230" s="21" t="n">
        <f aca="false">CODE(RIGHT(I230,1))</f>
        <v>48</v>
      </c>
      <c r="L230" s="14" t="str">
        <f aca="false">SUBSTITUTE(I230,"PR:","")</f>
        <v>Music SP:David2017106 $0</v>
      </c>
      <c r="M230" s="14" t="str">
        <f aca="false">SUBSTITUTE(L230,"SP:","")</f>
        <v>Music David2017106 $0</v>
      </c>
      <c r="N230" s="15" t="str">
        <f aca="false">SUBSTITUTE(M230,"201710"," 201710")</f>
        <v>Music David 2017106 $0</v>
      </c>
      <c r="O230" s="21" t="n">
        <f aca="false">FIND(" ",N230)</f>
        <v>6</v>
      </c>
      <c r="P230" s="21" t="n">
        <f aca="false">FIND(" ",N230,O230+1)</f>
        <v>12</v>
      </c>
      <c r="Q230" s="21" t="n">
        <f aca="false">FIND(" ",N230,P230+1)</f>
        <v>20</v>
      </c>
      <c r="R230" s="26" t="str">
        <f aca="false">LEFT(N230,O230-1)</f>
        <v>Music</v>
      </c>
      <c r="S230" s="26" t="str">
        <f aca="false">MID(N230,O230+1,P230-O230-1)</f>
        <v>David</v>
      </c>
      <c r="T230" s="26" t="str">
        <f aca="false">MID(N230,P230+1,Q230-P230-1)</f>
        <v>2017106</v>
      </c>
      <c r="U230" s="26" t="n">
        <f aca="false">VALUE(MID(N230,Q230+2,90))</f>
        <v>0</v>
      </c>
      <c r="V230" s="27" t="n">
        <f aca="false">DATE(2017,10,MID(T230,7,2))</f>
        <v>43014</v>
      </c>
    </row>
    <row r="231" customFormat="false" ht="14.25" hidden="false" customHeight="false" outlineLevel="0" collapsed="false">
      <c r="A231" s="23" t="n">
        <f aca="false">A230+1</f>
        <v>227</v>
      </c>
      <c r="B231" s="14" t="s">
        <v>245</v>
      </c>
      <c r="C231" s="21" t="n">
        <f aca="false">CODE(RIGHT(B231,1))</f>
        <v>28</v>
      </c>
      <c r="D231" s="14" t="str">
        <f aca="false">CLEAN(B231)</f>
        <v>/////PR:Music__SP:Alice2017101  $0  </v>
      </c>
      <c r="E231" s="21" t="n">
        <f aca="false">CODE(RIGHT(D231,1))</f>
        <v>32</v>
      </c>
      <c r="F231" s="14" t="str">
        <f aca="false">SUBSTITUTE(D231,_xlfn.UNICHAR(160)," ")</f>
        <v>/////PR:Music__SP:Alice2017101  $0  </v>
      </c>
      <c r="G231" s="14" t="str">
        <f aca="false">SUBSTITUTE(F231,"/","")</f>
        <v>PR:Music__SP:Alice2017101  $0  </v>
      </c>
      <c r="H231" s="14" t="str">
        <f aca="false">SUBSTITUTE(G231,"_"," ")</f>
        <v>PR:Music  SP:Alice2017101  $0  </v>
      </c>
      <c r="I231" s="14" t="str">
        <f aca="false">TRIM(H231)</f>
        <v>PR:Music SP:Alice2017101 $0</v>
      </c>
      <c r="J231" s="21" t="n">
        <f aca="false">LEN(I231)</f>
        <v>27</v>
      </c>
      <c r="K231" s="21" t="n">
        <f aca="false">CODE(RIGHT(I231,1))</f>
        <v>48</v>
      </c>
      <c r="L231" s="14" t="str">
        <f aca="false">SUBSTITUTE(I231,"PR:","")</f>
        <v>Music SP:Alice2017101 $0</v>
      </c>
      <c r="M231" s="14" t="str">
        <f aca="false">SUBSTITUTE(L231,"SP:","")</f>
        <v>Music Alice2017101 $0</v>
      </c>
      <c r="N231" s="15" t="str">
        <f aca="false">SUBSTITUTE(M231,"201710"," 201710")</f>
        <v>Music Alice 2017101 $0</v>
      </c>
      <c r="O231" s="21" t="n">
        <f aca="false">FIND(" ",N231)</f>
        <v>6</v>
      </c>
      <c r="P231" s="21" t="n">
        <f aca="false">FIND(" ",N231,O231+1)</f>
        <v>12</v>
      </c>
      <c r="Q231" s="21" t="n">
        <f aca="false">FIND(" ",N231,P231+1)</f>
        <v>20</v>
      </c>
      <c r="R231" s="26" t="str">
        <f aca="false">LEFT(N231,O231-1)</f>
        <v>Music</v>
      </c>
      <c r="S231" s="26" t="str">
        <f aca="false">MID(N231,O231+1,P231-O231-1)</f>
        <v>Alice</v>
      </c>
      <c r="T231" s="26" t="str">
        <f aca="false">MID(N231,P231+1,Q231-P231-1)</f>
        <v>2017101</v>
      </c>
      <c r="U231" s="26" t="n">
        <f aca="false">VALUE(MID(N231,Q231+2,90))</f>
        <v>0</v>
      </c>
      <c r="V231" s="27" t="n">
        <f aca="false">DATE(2017,10,MID(T231,7,2))</f>
        <v>43009</v>
      </c>
    </row>
    <row r="232" customFormat="false" ht="14.25" hidden="false" customHeight="false" outlineLevel="0" collapsed="false">
      <c r="A232" s="23" t="n">
        <f aca="false">A231+1</f>
        <v>228</v>
      </c>
      <c r="B232" s="14" t="s">
        <v>246</v>
      </c>
      <c r="C232" s="21" t="n">
        <f aca="false">CODE(RIGHT(B232,1))</f>
        <v>28</v>
      </c>
      <c r="D232" s="14" t="str">
        <f aca="false">CLEAN(B232)</f>
        <v>///PR:Games____SP:David20171029  $0  </v>
      </c>
      <c r="E232" s="21" t="n">
        <f aca="false">CODE(RIGHT(D232,1))</f>
        <v>32</v>
      </c>
      <c r="F232" s="14" t="str">
        <f aca="false">SUBSTITUTE(D232,_xlfn.UNICHAR(160)," ")</f>
        <v>///PR:Games____SP:David20171029  $0  </v>
      </c>
      <c r="G232" s="14" t="str">
        <f aca="false">SUBSTITUTE(F232,"/","")</f>
        <v>PR:Games____SP:David20171029  $0  </v>
      </c>
      <c r="H232" s="14" t="str">
        <f aca="false">SUBSTITUTE(G232,"_"," ")</f>
        <v>PR:Games    SP:David20171029  $0  </v>
      </c>
      <c r="I232" s="14" t="str">
        <f aca="false">TRIM(H232)</f>
        <v>PR:Games SP:David20171029 $0</v>
      </c>
      <c r="J232" s="21" t="n">
        <f aca="false">LEN(I232)</f>
        <v>28</v>
      </c>
      <c r="K232" s="21" t="n">
        <f aca="false">CODE(RIGHT(I232,1))</f>
        <v>48</v>
      </c>
      <c r="L232" s="14" t="str">
        <f aca="false">SUBSTITUTE(I232,"PR:","")</f>
        <v>Games SP:David20171029 $0</v>
      </c>
      <c r="M232" s="14" t="str">
        <f aca="false">SUBSTITUTE(L232,"SP:","")</f>
        <v>Games David20171029 $0</v>
      </c>
      <c r="N232" s="15" t="str">
        <f aca="false">SUBSTITUTE(M232,"201710"," 201710")</f>
        <v>Games David 20171029 $0</v>
      </c>
      <c r="O232" s="21" t="n">
        <f aca="false">FIND(" ",N232)</f>
        <v>6</v>
      </c>
      <c r="P232" s="21" t="n">
        <f aca="false">FIND(" ",N232,O232+1)</f>
        <v>12</v>
      </c>
      <c r="Q232" s="21" t="n">
        <f aca="false">FIND(" ",N232,P232+1)</f>
        <v>21</v>
      </c>
      <c r="R232" s="26" t="str">
        <f aca="false">LEFT(N232,O232-1)</f>
        <v>Games</v>
      </c>
      <c r="S232" s="26" t="str">
        <f aca="false">MID(N232,O232+1,P232-O232-1)</f>
        <v>David</v>
      </c>
      <c r="T232" s="26" t="str">
        <f aca="false">MID(N232,P232+1,Q232-P232-1)</f>
        <v>20171029</v>
      </c>
      <c r="U232" s="26" t="n">
        <f aca="false">VALUE(MID(N232,Q232+2,90))</f>
        <v>0</v>
      </c>
      <c r="V232" s="27" t="n">
        <f aca="false">DATE(2017,10,MID(T232,7,2))</f>
        <v>43037</v>
      </c>
    </row>
    <row r="233" customFormat="false" ht="14.25" hidden="false" customHeight="false" outlineLevel="0" collapsed="false">
      <c r="A233" s="23" t="n">
        <f aca="false">A232+1</f>
        <v>229</v>
      </c>
      <c r="B233" s="14" t="s">
        <v>247</v>
      </c>
      <c r="C233" s="21" t="n">
        <f aca="false">CODE(RIGHT(B233,1))</f>
        <v>28</v>
      </c>
      <c r="D233" s="14" t="str">
        <f aca="false">CLEAN(B233)</f>
        <v>/////PR:Books___SP:Alice20171012    $743  </v>
      </c>
      <c r="E233" s="21" t="n">
        <f aca="false">CODE(RIGHT(D233,1))</f>
        <v>32</v>
      </c>
      <c r="F233" s="14" t="str">
        <f aca="false">SUBSTITUTE(D233,_xlfn.UNICHAR(160)," ")</f>
        <v>/////PR:Books___SP:Alice20171012    $743  </v>
      </c>
      <c r="G233" s="14" t="str">
        <f aca="false">SUBSTITUTE(F233,"/","")</f>
        <v>PR:Books___SP:Alice20171012    $743  </v>
      </c>
      <c r="H233" s="14" t="str">
        <f aca="false">SUBSTITUTE(G233,"_"," ")</f>
        <v>PR:Books   SP:Alice20171012    $743  </v>
      </c>
      <c r="I233" s="14" t="str">
        <f aca="false">TRIM(H233)</f>
        <v>PR:Books SP:Alice20171012 $743</v>
      </c>
      <c r="J233" s="21" t="n">
        <f aca="false">LEN(I233)</f>
        <v>30</v>
      </c>
      <c r="K233" s="21" t="n">
        <f aca="false">CODE(RIGHT(I233,1))</f>
        <v>51</v>
      </c>
      <c r="L233" s="14" t="str">
        <f aca="false">SUBSTITUTE(I233,"PR:","")</f>
        <v>Books SP:Alice20171012 $743</v>
      </c>
      <c r="M233" s="14" t="str">
        <f aca="false">SUBSTITUTE(L233,"SP:","")</f>
        <v>Books Alice20171012 $743</v>
      </c>
      <c r="N233" s="15" t="str">
        <f aca="false">SUBSTITUTE(M233,"201710"," 201710")</f>
        <v>Books Alice 20171012 $743</v>
      </c>
      <c r="O233" s="21" t="n">
        <f aca="false">FIND(" ",N233)</f>
        <v>6</v>
      </c>
      <c r="P233" s="21" t="n">
        <f aca="false">FIND(" ",N233,O233+1)</f>
        <v>12</v>
      </c>
      <c r="Q233" s="21" t="n">
        <f aca="false">FIND(" ",N233,P233+1)</f>
        <v>21</v>
      </c>
      <c r="R233" s="26" t="str">
        <f aca="false">LEFT(N233,O233-1)</f>
        <v>Books</v>
      </c>
      <c r="S233" s="26" t="str">
        <f aca="false">MID(N233,O233+1,P233-O233-1)</f>
        <v>Alice</v>
      </c>
      <c r="T233" s="26" t="str">
        <f aca="false">MID(N233,P233+1,Q233-P233-1)</f>
        <v>20171012</v>
      </c>
      <c r="U233" s="26" t="n">
        <f aca="false">VALUE(MID(N233,Q233+2,90))</f>
        <v>743</v>
      </c>
      <c r="V233" s="27" t="n">
        <f aca="false">DATE(2017,10,MID(T233,7,2))</f>
        <v>43020</v>
      </c>
    </row>
    <row r="234" customFormat="false" ht="14.25" hidden="false" customHeight="false" outlineLevel="0" collapsed="false">
      <c r="A234" s="23" t="n">
        <f aca="false">A233+1</f>
        <v>230</v>
      </c>
      <c r="B234" s="14" t="s">
        <v>248</v>
      </c>
      <c r="C234" s="21" t="n">
        <f aca="false">CODE(RIGHT(B234,1))</f>
        <v>31</v>
      </c>
      <c r="D234" s="14" t="str">
        <f aca="false">CLEAN(B234)</f>
        <v>////PR:Music_SP:Alice2017109    $1347 </v>
      </c>
      <c r="E234" s="21" t="n">
        <f aca="false">CODE(RIGHT(D234,1))</f>
        <v>32</v>
      </c>
      <c r="F234" s="14" t="str">
        <f aca="false">SUBSTITUTE(D234,_xlfn.UNICHAR(160)," ")</f>
        <v>////PR:Music_SP:Alice2017109    $1347 </v>
      </c>
      <c r="G234" s="14" t="str">
        <f aca="false">SUBSTITUTE(F234,"/","")</f>
        <v>PR:Music_SP:Alice2017109    $1347 </v>
      </c>
      <c r="H234" s="14" t="str">
        <f aca="false">SUBSTITUTE(G234,"_"," ")</f>
        <v>PR:Music SP:Alice2017109    $1347 </v>
      </c>
      <c r="I234" s="14" t="str">
        <f aca="false">TRIM(H234)</f>
        <v>PR:Music SP:Alice2017109 $1347</v>
      </c>
      <c r="J234" s="21" t="n">
        <f aca="false">LEN(I234)</f>
        <v>30</v>
      </c>
      <c r="K234" s="21" t="n">
        <f aca="false">CODE(RIGHT(I234,1))</f>
        <v>55</v>
      </c>
      <c r="L234" s="14" t="str">
        <f aca="false">SUBSTITUTE(I234,"PR:","")</f>
        <v>Music SP:Alice2017109 $1347</v>
      </c>
      <c r="M234" s="14" t="str">
        <f aca="false">SUBSTITUTE(L234,"SP:","")</f>
        <v>Music Alice2017109 $1347</v>
      </c>
      <c r="N234" s="15" t="str">
        <f aca="false">SUBSTITUTE(M234,"201710"," 201710")</f>
        <v>Music Alice 2017109 $1347</v>
      </c>
      <c r="O234" s="21" t="n">
        <f aca="false">FIND(" ",N234)</f>
        <v>6</v>
      </c>
      <c r="P234" s="21" t="n">
        <f aca="false">FIND(" ",N234,O234+1)</f>
        <v>12</v>
      </c>
      <c r="Q234" s="21" t="n">
        <f aca="false">FIND(" ",N234,P234+1)</f>
        <v>20</v>
      </c>
      <c r="R234" s="26" t="str">
        <f aca="false">LEFT(N234,O234-1)</f>
        <v>Music</v>
      </c>
      <c r="S234" s="26" t="str">
        <f aca="false">MID(N234,O234+1,P234-O234-1)</f>
        <v>Alice</v>
      </c>
      <c r="T234" s="26" t="str">
        <f aca="false">MID(N234,P234+1,Q234-P234-1)</f>
        <v>2017109</v>
      </c>
      <c r="U234" s="26" t="n">
        <f aca="false">VALUE(MID(N234,Q234+2,90))</f>
        <v>1347</v>
      </c>
      <c r="V234" s="27" t="n">
        <f aca="false">DATE(2017,10,MID(T234,7,2))</f>
        <v>43017</v>
      </c>
    </row>
    <row r="235" customFormat="false" ht="14.25" hidden="false" customHeight="false" outlineLevel="0" collapsed="false">
      <c r="A235" s="23" t="n">
        <f aca="false">A234+1</f>
        <v>231</v>
      </c>
      <c r="B235" s="14" t="s">
        <v>249</v>
      </c>
      <c r="C235" s="21" t="n">
        <f aca="false">CODE(RIGHT(B235,1))</f>
        <v>30</v>
      </c>
      <c r="D235" s="14" t="str">
        <f aca="false">CLEAN(B235)</f>
        <v>/////PR:Books___SP:Alice20171021     $875    </v>
      </c>
      <c r="E235" s="21" t="n">
        <f aca="false">CODE(RIGHT(D235,1))</f>
        <v>32</v>
      </c>
      <c r="F235" s="14" t="str">
        <f aca="false">SUBSTITUTE(D235,_xlfn.UNICHAR(160)," ")</f>
        <v>/////PR:Books___SP:Alice20171021     $875    </v>
      </c>
      <c r="G235" s="14" t="str">
        <f aca="false">SUBSTITUTE(F235,"/","")</f>
        <v>PR:Books___SP:Alice20171021     $875    </v>
      </c>
      <c r="H235" s="14" t="str">
        <f aca="false">SUBSTITUTE(G235,"_"," ")</f>
        <v>PR:Books   SP:Alice20171021     $875    </v>
      </c>
      <c r="I235" s="14" t="str">
        <f aca="false">TRIM(H235)</f>
        <v>PR:Books SP:Alice20171021 $875</v>
      </c>
      <c r="J235" s="21" t="n">
        <f aca="false">LEN(I235)</f>
        <v>30</v>
      </c>
      <c r="K235" s="21" t="n">
        <f aca="false">CODE(RIGHT(I235,1))</f>
        <v>53</v>
      </c>
      <c r="L235" s="14" t="str">
        <f aca="false">SUBSTITUTE(I235,"PR:","")</f>
        <v>Books SP:Alice20171021 $875</v>
      </c>
      <c r="M235" s="14" t="str">
        <f aca="false">SUBSTITUTE(L235,"SP:","")</f>
        <v>Books Alice20171021 $875</v>
      </c>
      <c r="N235" s="15" t="str">
        <f aca="false">SUBSTITUTE(M235,"201710"," 201710")</f>
        <v>Books Alice 20171021 $875</v>
      </c>
      <c r="O235" s="21" t="n">
        <f aca="false">FIND(" ",N235)</f>
        <v>6</v>
      </c>
      <c r="P235" s="21" t="n">
        <f aca="false">FIND(" ",N235,O235+1)</f>
        <v>12</v>
      </c>
      <c r="Q235" s="21" t="n">
        <f aca="false">FIND(" ",N235,P235+1)</f>
        <v>21</v>
      </c>
      <c r="R235" s="26" t="str">
        <f aca="false">LEFT(N235,O235-1)</f>
        <v>Books</v>
      </c>
      <c r="S235" s="26" t="str">
        <f aca="false">MID(N235,O235+1,P235-O235-1)</f>
        <v>Alice</v>
      </c>
      <c r="T235" s="26" t="str">
        <f aca="false">MID(N235,P235+1,Q235-P235-1)</f>
        <v>20171021</v>
      </c>
      <c r="U235" s="26" t="n">
        <f aca="false">VALUE(MID(N235,Q235+2,90))</f>
        <v>875</v>
      </c>
      <c r="V235" s="27" t="n">
        <f aca="false">DATE(2017,10,MID(T235,7,2))</f>
        <v>43029</v>
      </c>
    </row>
    <row r="236" customFormat="false" ht="14.25" hidden="false" customHeight="false" outlineLevel="0" collapsed="false">
      <c r="A236" s="23" t="n">
        <f aca="false">A235+1</f>
        <v>232</v>
      </c>
      <c r="B236" s="14" t="s">
        <v>250</v>
      </c>
      <c r="C236" s="21" t="n">
        <f aca="false">CODE(RIGHT(B236,1))</f>
        <v>31</v>
      </c>
      <c r="D236" s="14" t="str">
        <f aca="false">CLEAN(B236)</f>
        <v>////PR:Games____SP:Carol20171014    $2331   </v>
      </c>
      <c r="E236" s="21" t="n">
        <f aca="false">CODE(RIGHT(D236,1))</f>
        <v>32</v>
      </c>
      <c r="F236" s="14" t="str">
        <f aca="false">SUBSTITUTE(D236,_xlfn.UNICHAR(160)," ")</f>
        <v>////PR:Games____SP:Carol20171014    $2331   </v>
      </c>
      <c r="G236" s="14" t="str">
        <f aca="false">SUBSTITUTE(F236,"/","")</f>
        <v>PR:Games____SP:Carol20171014    $2331   </v>
      </c>
      <c r="H236" s="14" t="str">
        <f aca="false">SUBSTITUTE(G236,"_"," ")</f>
        <v>PR:Games    SP:Carol20171014    $2331   </v>
      </c>
      <c r="I236" s="14" t="str">
        <f aca="false">TRIM(H236)</f>
        <v>PR:Games SP:Carol20171014 $2331</v>
      </c>
      <c r="J236" s="21" t="n">
        <f aca="false">LEN(I236)</f>
        <v>31</v>
      </c>
      <c r="K236" s="21" t="n">
        <f aca="false">CODE(RIGHT(I236,1))</f>
        <v>49</v>
      </c>
      <c r="L236" s="14" t="str">
        <f aca="false">SUBSTITUTE(I236,"PR:","")</f>
        <v>Games SP:Carol20171014 $2331</v>
      </c>
      <c r="M236" s="14" t="str">
        <f aca="false">SUBSTITUTE(L236,"SP:","")</f>
        <v>Games Carol20171014 $2331</v>
      </c>
      <c r="N236" s="15" t="str">
        <f aca="false">SUBSTITUTE(M236,"201710"," 201710")</f>
        <v>Games Carol 20171014 $2331</v>
      </c>
      <c r="O236" s="21" t="n">
        <f aca="false">FIND(" ",N236)</f>
        <v>6</v>
      </c>
      <c r="P236" s="21" t="n">
        <f aca="false">FIND(" ",N236,O236+1)</f>
        <v>12</v>
      </c>
      <c r="Q236" s="21" t="n">
        <f aca="false">FIND(" ",N236,P236+1)</f>
        <v>21</v>
      </c>
      <c r="R236" s="26" t="str">
        <f aca="false">LEFT(N236,O236-1)</f>
        <v>Games</v>
      </c>
      <c r="S236" s="26" t="str">
        <f aca="false">MID(N236,O236+1,P236-O236-1)</f>
        <v>Carol</v>
      </c>
      <c r="T236" s="26" t="str">
        <f aca="false">MID(N236,P236+1,Q236-P236-1)</f>
        <v>20171014</v>
      </c>
      <c r="U236" s="26" t="n">
        <f aca="false">VALUE(MID(N236,Q236+2,90))</f>
        <v>2331</v>
      </c>
      <c r="V236" s="27" t="n">
        <f aca="false">DATE(2017,10,MID(T236,7,2))</f>
        <v>43022</v>
      </c>
    </row>
    <row r="237" customFormat="false" ht="14.25" hidden="false" customHeight="false" outlineLevel="0" collapsed="false">
      <c r="A237" s="23" t="n">
        <f aca="false">A236+1</f>
        <v>233</v>
      </c>
      <c r="B237" s="14" t="s">
        <v>251</v>
      </c>
      <c r="C237" s="21" t="n">
        <f aca="false">CODE(RIGHT(B237,1))</f>
        <v>31</v>
      </c>
      <c r="D237" s="14" t="str">
        <f aca="false">CLEAN(B237)</f>
        <v>///PR:Books_SP:Barney20171031  $0     </v>
      </c>
      <c r="E237" s="21" t="n">
        <f aca="false">CODE(RIGHT(D237,1))</f>
        <v>32</v>
      </c>
      <c r="F237" s="14" t="str">
        <f aca="false">SUBSTITUTE(D237,_xlfn.UNICHAR(160)," ")</f>
        <v>///PR:Books_SP:Barney20171031  $0     </v>
      </c>
      <c r="G237" s="14" t="str">
        <f aca="false">SUBSTITUTE(F237,"/","")</f>
        <v>PR:Books_SP:Barney20171031  $0     </v>
      </c>
      <c r="H237" s="14" t="str">
        <f aca="false">SUBSTITUTE(G237,"_"," ")</f>
        <v>PR:Books SP:Barney20171031  $0     </v>
      </c>
      <c r="I237" s="14" t="str">
        <f aca="false">TRIM(H237)</f>
        <v>PR:Books SP:Barney20171031 $0</v>
      </c>
      <c r="J237" s="21" t="n">
        <f aca="false">LEN(I237)</f>
        <v>29</v>
      </c>
      <c r="K237" s="21" t="n">
        <f aca="false">CODE(RIGHT(I237,1))</f>
        <v>48</v>
      </c>
      <c r="L237" s="14" t="str">
        <f aca="false">SUBSTITUTE(I237,"PR:","")</f>
        <v>Books SP:Barney20171031 $0</v>
      </c>
      <c r="M237" s="14" t="str">
        <f aca="false">SUBSTITUTE(L237,"SP:","")</f>
        <v>Books Barney20171031 $0</v>
      </c>
      <c r="N237" s="15" t="str">
        <f aca="false">SUBSTITUTE(M237,"201710"," 201710")</f>
        <v>Books Barney 20171031 $0</v>
      </c>
      <c r="O237" s="21" t="n">
        <f aca="false">FIND(" ",N237)</f>
        <v>6</v>
      </c>
      <c r="P237" s="21" t="n">
        <f aca="false">FIND(" ",N237,O237+1)</f>
        <v>13</v>
      </c>
      <c r="Q237" s="21" t="n">
        <f aca="false">FIND(" ",N237,P237+1)</f>
        <v>22</v>
      </c>
      <c r="R237" s="26" t="str">
        <f aca="false">LEFT(N237,O237-1)</f>
        <v>Books</v>
      </c>
      <c r="S237" s="26" t="str">
        <f aca="false">MID(N237,O237+1,P237-O237-1)</f>
        <v>Barney</v>
      </c>
      <c r="T237" s="26" t="str">
        <f aca="false">MID(N237,P237+1,Q237-P237-1)</f>
        <v>20171031</v>
      </c>
      <c r="U237" s="26" t="n">
        <f aca="false">VALUE(MID(N237,Q237+2,90))</f>
        <v>0</v>
      </c>
      <c r="V237" s="27" t="n">
        <f aca="false">DATE(2017,10,MID(T237,7,2))</f>
        <v>43039</v>
      </c>
    </row>
    <row r="238" customFormat="false" ht="14.25" hidden="false" customHeight="false" outlineLevel="0" collapsed="false">
      <c r="A238" s="23" t="n">
        <f aca="false">A237+1</f>
        <v>234</v>
      </c>
      <c r="B238" s="14" t="s">
        <v>252</v>
      </c>
      <c r="C238" s="21" t="n">
        <f aca="false">CODE(RIGHT(B238,1))</f>
        <v>28</v>
      </c>
      <c r="D238" s="14" t="str">
        <f aca="false">CLEAN(B238)</f>
        <v>//PR:Clothing_SP:Alice2017107    $1182  </v>
      </c>
      <c r="E238" s="21" t="n">
        <f aca="false">CODE(RIGHT(D238,1))</f>
        <v>32</v>
      </c>
      <c r="F238" s="14" t="str">
        <f aca="false">SUBSTITUTE(D238,_xlfn.UNICHAR(160)," ")</f>
        <v>//PR:Clothing_SP:Alice2017107    $1182  </v>
      </c>
      <c r="G238" s="14" t="str">
        <f aca="false">SUBSTITUTE(F238,"/","")</f>
        <v>PR:Clothing_SP:Alice2017107    $1182  </v>
      </c>
      <c r="H238" s="14" t="str">
        <f aca="false">SUBSTITUTE(G238,"_"," ")</f>
        <v>PR:Clothing SP:Alice2017107    $1182  </v>
      </c>
      <c r="I238" s="14" t="str">
        <f aca="false">TRIM(H238)</f>
        <v>PR:Clothing SP:Alice2017107 $1182</v>
      </c>
      <c r="J238" s="21" t="n">
        <f aca="false">LEN(I238)</f>
        <v>33</v>
      </c>
      <c r="K238" s="21" t="n">
        <f aca="false">CODE(RIGHT(I238,1))</f>
        <v>50</v>
      </c>
      <c r="L238" s="14" t="str">
        <f aca="false">SUBSTITUTE(I238,"PR:","")</f>
        <v>Clothing SP:Alice2017107 $1182</v>
      </c>
      <c r="M238" s="14" t="str">
        <f aca="false">SUBSTITUTE(L238,"SP:","")</f>
        <v>Clothing Alice2017107 $1182</v>
      </c>
      <c r="N238" s="15" t="str">
        <f aca="false">SUBSTITUTE(M238,"201710"," 201710")</f>
        <v>Clothing Alice 2017107 $1182</v>
      </c>
      <c r="O238" s="21" t="n">
        <f aca="false">FIND(" ",N238)</f>
        <v>9</v>
      </c>
      <c r="P238" s="21" t="n">
        <f aca="false">FIND(" ",N238,O238+1)</f>
        <v>15</v>
      </c>
      <c r="Q238" s="21" t="n">
        <f aca="false">FIND(" ",N238,P238+1)</f>
        <v>23</v>
      </c>
      <c r="R238" s="26" t="str">
        <f aca="false">LEFT(N238,O238-1)</f>
        <v>Clothing</v>
      </c>
      <c r="S238" s="26" t="str">
        <f aca="false">MID(N238,O238+1,P238-O238-1)</f>
        <v>Alice</v>
      </c>
      <c r="T238" s="26" t="str">
        <f aca="false">MID(N238,P238+1,Q238-P238-1)</f>
        <v>2017107</v>
      </c>
      <c r="U238" s="26" t="n">
        <f aca="false">VALUE(MID(N238,Q238+2,90))</f>
        <v>1182</v>
      </c>
      <c r="V238" s="27" t="n">
        <f aca="false">DATE(2017,10,MID(T238,7,2))</f>
        <v>43015</v>
      </c>
    </row>
    <row r="239" customFormat="false" ht="14.25" hidden="false" customHeight="false" outlineLevel="0" collapsed="false">
      <c r="A239" s="23" t="n">
        <f aca="false">A238+1</f>
        <v>235</v>
      </c>
      <c r="B239" s="14" t="s">
        <v>253</v>
      </c>
      <c r="C239" s="21" t="n">
        <f aca="false">CODE(RIGHT(B239,1))</f>
        <v>30</v>
      </c>
      <c r="D239" s="14" t="str">
        <f aca="false">CLEAN(B239)</f>
        <v>////PR:Books__SP:Alice20171011 $675    </v>
      </c>
      <c r="E239" s="21" t="n">
        <f aca="false">CODE(RIGHT(D239,1))</f>
        <v>32</v>
      </c>
      <c r="F239" s="14" t="str">
        <f aca="false">SUBSTITUTE(D239,_xlfn.UNICHAR(160)," ")</f>
        <v>////PR:Books__SP:Alice20171011 $675    </v>
      </c>
      <c r="G239" s="14" t="str">
        <f aca="false">SUBSTITUTE(F239,"/","")</f>
        <v>PR:Books__SP:Alice20171011 $675    </v>
      </c>
      <c r="H239" s="14" t="str">
        <f aca="false">SUBSTITUTE(G239,"_"," ")</f>
        <v>PR:Books  SP:Alice20171011 $675    </v>
      </c>
      <c r="I239" s="14" t="str">
        <f aca="false">TRIM(H239)</f>
        <v>PR:Books SP:Alice20171011 $675</v>
      </c>
      <c r="J239" s="21" t="n">
        <f aca="false">LEN(I239)</f>
        <v>30</v>
      </c>
      <c r="K239" s="21" t="n">
        <f aca="false">CODE(RIGHT(I239,1))</f>
        <v>53</v>
      </c>
      <c r="L239" s="14" t="str">
        <f aca="false">SUBSTITUTE(I239,"PR:","")</f>
        <v>Books SP:Alice20171011 $675</v>
      </c>
      <c r="M239" s="14" t="str">
        <f aca="false">SUBSTITUTE(L239,"SP:","")</f>
        <v>Books Alice20171011 $675</v>
      </c>
      <c r="N239" s="15" t="str">
        <f aca="false">SUBSTITUTE(M239,"201710"," 201710")</f>
        <v>Books Alice 20171011 $675</v>
      </c>
      <c r="O239" s="21" t="n">
        <f aca="false">FIND(" ",N239)</f>
        <v>6</v>
      </c>
      <c r="P239" s="21" t="n">
        <f aca="false">FIND(" ",N239,O239+1)</f>
        <v>12</v>
      </c>
      <c r="Q239" s="21" t="n">
        <f aca="false">FIND(" ",N239,P239+1)</f>
        <v>21</v>
      </c>
      <c r="R239" s="26" t="str">
        <f aca="false">LEFT(N239,O239-1)</f>
        <v>Books</v>
      </c>
      <c r="S239" s="26" t="str">
        <f aca="false">MID(N239,O239+1,P239-O239-1)</f>
        <v>Alice</v>
      </c>
      <c r="T239" s="26" t="str">
        <f aca="false">MID(N239,P239+1,Q239-P239-1)</f>
        <v>20171011</v>
      </c>
      <c r="U239" s="26" t="n">
        <f aca="false">VALUE(MID(N239,Q239+2,90))</f>
        <v>675</v>
      </c>
      <c r="V239" s="27" t="n">
        <f aca="false">DATE(2017,10,MID(T239,7,2))</f>
        <v>43019</v>
      </c>
    </row>
    <row r="240" customFormat="false" ht="14.25" hidden="false" customHeight="false" outlineLevel="0" collapsed="false">
      <c r="A240" s="23" t="n">
        <f aca="false">A239+1</f>
        <v>236</v>
      </c>
      <c r="B240" s="14" t="s">
        <v>254</v>
      </c>
      <c r="C240" s="21" t="n">
        <f aca="false">CODE(RIGHT(B240,1))</f>
        <v>31</v>
      </c>
      <c r="D240" s="14" t="str">
        <f aca="false">CLEAN(B240)</f>
        <v>//PR:Music_____SP:Barney20171025 $981  </v>
      </c>
      <c r="E240" s="21" t="n">
        <f aca="false">CODE(RIGHT(D240,1))</f>
        <v>32</v>
      </c>
      <c r="F240" s="14" t="str">
        <f aca="false">SUBSTITUTE(D240,_xlfn.UNICHAR(160)," ")</f>
        <v>//PR:Music_____SP:Barney20171025 $981  </v>
      </c>
      <c r="G240" s="14" t="str">
        <f aca="false">SUBSTITUTE(F240,"/","")</f>
        <v>PR:Music_____SP:Barney20171025 $981  </v>
      </c>
      <c r="H240" s="14" t="str">
        <f aca="false">SUBSTITUTE(G240,"_"," ")</f>
        <v>PR:Music     SP:Barney20171025 $981  </v>
      </c>
      <c r="I240" s="14" t="str">
        <f aca="false">TRIM(H240)</f>
        <v>PR:Music SP:Barney20171025 $981</v>
      </c>
      <c r="J240" s="21" t="n">
        <f aca="false">LEN(I240)</f>
        <v>31</v>
      </c>
      <c r="K240" s="21" t="n">
        <f aca="false">CODE(RIGHT(I240,1))</f>
        <v>49</v>
      </c>
      <c r="L240" s="14" t="str">
        <f aca="false">SUBSTITUTE(I240,"PR:","")</f>
        <v>Music SP:Barney20171025 $981</v>
      </c>
      <c r="M240" s="14" t="str">
        <f aca="false">SUBSTITUTE(L240,"SP:","")</f>
        <v>Music Barney20171025 $981</v>
      </c>
      <c r="N240" s="15" t="str">
        <f aca="false">SUBSTITUTE(M240,"201710"," 201710")</f>
        <v>Music Barney 20171025 $981</v>
      </c>
      <c r="O240" s="21" t="n">
        <f aca="false">FIND(" ",N240)</f>
        <v>6</v>
      </c>
      <c r="P240" s="21" t="n">
        <f aca="false">FIND(" ",N240,O240+1)</f>
        <v>13</v>
      </c>
      <c r="Q240" s="21" t="n">
        <f aca="false">FIND(" ",N240,P240+1)</f>
        <v>22</v>
      </c>
      <c r="R240" s="26" t="str">
        <f aca="false">LEFT(N240,O240-1)</f>
        <v>Music</v>
      </c>
      <c r="S240" s="26" t="str">
        <f aca="false">MID(N240,O240+1,P240-O240-1)</f>
        <v>Barney</v>
      </c>
      <c r="T240" s="26" t="str">
        <f aca="false">MID(N240,P240+1,Q240-P240-1)</f>
        <v>20171025</v>
      </c>
      <c r="U240" s="26" t="n">
        <f aca="false">VALUE(MID(N240,Q240+2,90))</f>
        <v>981</v>
      </c>
      <c r="V240" s="27" t="n">
        <f aca="false">DATE(2017,10,MID(T240,7,2))</f>
        <v>43033</v>
      </c>
    </row>
    <row r="241" customFormat="false" ht="14.25" hidden="false" customHeight="false" outlineLevel="0" collapsed="false">
      <c r="A241" s="23" t="n">
        <f aca="false">A240+1</f>
        <v>237</v>
      </c>
      <c r="B241" s="14" t="s">
        <v>255</v>
      </c>
      <c r="C241" s="21" t="n">
        <f aca="false">CODE(RIGHT(B241,1))</f>
        <v>31</v>
      </c>
      <c r="D241" s="14" t="str">
        <f aca="false">CLEAN(B241)</f>
        <v>//PR:Clothing_____SP:Alice20171013     $1693  </v>
      </c>
      <c r="E241" s="21" t="n">
        <f aca="false">CODE(RIGHT(D241,1))</f>
        <v>32</v>
      </c>
      <c r="F241" s="14" t="str">
        <f aca="false">SUBSTITUTE(D241,_xlfn.UNICHAR(160)," ")</f>
        <v>//PR:Clothing_____SP:Alice20171013     $1693  </v>
      </c>
      <c r="G241" s="14" t="str">
        <f aca="false">SUBSTITUTE(F241,"/","")</f>
        <v>PR:Clothing_____SP:Alice20171013     $1693  </v>
      </c>
      <c r="H241" s="14" t="str">
        <f aca="false">SUBSTITUTE(G241,"_"," ")</f>
        <v>PR:Clothing     SP:Alice20171013     $1693  </v>
      </c>
      <c r="I241" s="14" t="str">
        <f aca="false">TRIM(H241)</f>
        <v>PR:Clothing SP:Alice20171013 $1693</v>
      </c>
      <c r="J241" s="21" t="n">
        <f aca="false">LEN(I241)</f>
        <v>34</v>
      </c>
      <c r="K241" s="21" t="n">
        <f aca="false">CODE(RIGHT(I241,1))</f>
        <v>51</v>
      </c>
      <c r="L241" s="14" t="str">
        <f aca="false">SUBSTITUTE(I241,"PR:","")</f>
        <v>Clothing SP:Alice20171013 $1693</v>
      </c>
      <c r="M241" s="14" t="str">
        <f aca="false">SUBSTITUTE(L241,"SP:","")</f>
        <v>Clothing Alice20171013 $1693</v>
      </c>
      <c r="N241" s="15" t="str">
        <f aca="false">SUBSTITUTE(M241,"201710"," 201710")</f>
        <v>Clothing Alice 20171013 $1693</v>
      </c>
      <c r="O241" s="21" t="n">
        <f aca="false">FIND(" ",N241)</f>
        <v>9</v>
      </c>
      <c r="P241" s="21" t="n">
        <f aca="false">FIND(" ",N241,O241+1)</f>
        <v>15</v>
      </c>
      <c r="Q241" s="21" t="n">
        <f aca="false">FIND(" ",N241,P241+1)</f>
        <v>24</v>
      </c>
      <c r="R241" s="26" t="str">
        <f aca="false">LEFT(N241,O241-1)</f>
        <v>Clothing</v>
      </c>
      <c r="S241" s="26" t="str">
        <f aca="false">MID(N241,O241+1,P241-O241-1)</f>
        <v>Alice</v>
      </c>
      <c r="T241" s="26" t="str">
        <f aca="false">MID(N241,P241+1,Q241-P241-1)</f>
        <v>20171013</v>
      </c>
      <c r="U241" s="26" t="n">
        <f aca="false">VALUE(MID(N241,Q241+2,90))</f>
        <v>1693</v>
      </c>
      <c r="V241" s="27" t="n">
        <f aca="false">DATE(2017,10,MID(T241,7,2))</f>
        <v>43021</v>
      </c>
    </row>
    <row r="242" customFormat="false" ht="14.25" hidden="false" customHeight="false" outlineLevel="0" collapsed="false">
      <c r="A242" s="23" t="n">
        <f aca="false">A241+1</f>
        <v>238</v>
      </c>
      <c r="B242" s="14" t="s">
        <v>256</v>
      </c>
      <c r="C242" s="21" t="n">
        <f aca="false">CODE(RIGHT(B242,1))</f>
        <v>31</v>
      </c>
      <c r="D242" s="14" t="str">
        <f aca="false">CLEAN(B242)</f>
        <v>////PR:Music___SP:Alice20171015  $1499  </v>
      </c>
      <c r="E242" s="21" t="n">
        <f aca="false">CODE(RIGHT(D242,1))</f>
        <v>32</v>
      </c>
      <c r="F242" s="14" t="str">
        <f aca="false">SUBSTITUTE(D242,_xlfn.UNICHAR(160)," ")</f>
        <v>////PR:Music___SP:Alice20171015  $1499  </v>
      </c>
      <c r="G242" s="14" t="str">
        <f aca="false">SUBSTITUTE(F242,"/","")</f>
        <v>PR:Music___SP:Alice20171015  $1499  </v>
      </c>
      <c r="H242" s="14" t="str">
        <f aca="false">SUBSTITUTE(G242,"_"," ")</f>
        <v>PR:Music   SP:Alice20171015  $1499  </v>
      </c>
      <c r="I242" s="14" t="str">
        <f aca="false">TRIM(H242)</f>
        <v>PR:Music SP:Alice20171015 $1499</v>
      </c>
      <c r="J242" s="21" t="n">
        <f aca="false">LEN(I242)</f>
        <v>31</v>
      </c>
      <c r="K242" s="21" t="n">
        <f aca="false">CODE(RIGHT(I242,1))</f>
        <v>57</v>
      </c>
      <c r="L242" s="14" t="str">
        <f aca="false">SUBSTITUTE(I242,"PR:","")</f>
        <v>Music SP:Alice20171015 $1499</v>
      </c>
      <c r="M242" s="14" t="str">
        <f aca="false">SUBSTITUTE(L242,"SP:","")</f>
        <v>Music Alice20171015 $1499</v>
      </c>
      <c r="N242" s="15" t="str">
        <f aca="false">SUBSTITUTE(M242,"201710"," 201710")</f>
        <v>Music Alice 20171015 $1499</v>
      </c>
      <c r="O242" s="21" t="n">
        <f aca="false">FIND(" ",N242)</f>
        <v>6</v>
      </c>
      <c r="P242" s="21" t="n">
        <f aca="false">FIND(" ",N242,O242+1)</f>
        <v>12</v>
      </c>
      <c r="Q242" s="21" t="n">
        <f aca="false">FIND(" ",N242,P242+1)</f>
        <v>21</v>
      </c>
      <c r="R242" s="26" t="str">
        <f aca="false">LEFT(N242,O242-1)</f>
        <v>Music</v>
      </c>
      <c r="S242" s="26" t="str">
        <f aca="false">MID(N242,O242+1,P242-O242-1)</f>
        <v>Alice</v>
      </c>
      <c r="T242" s="26" t="str">
        <f aca="false">MID(N242,P242+1,Q242-P242-1)</f>
        <v>20171015</v>
      </c>
      <c r="U242" s="26" t="n">
        <f aca="false">VALUE(MID(N242,Q242+2,90))</f>
        <v>1499</v>
      </c>
      <c r="V242" s="27" t="n">
        <f aca="false">DATE(2017,10,MID(T242,7,2))</f>
        <v>43023</v>
      </c>
    </row>
    <row r="243" customFormat="false" ht="14.25" hidden="false" customHeight="false" outlineLevel="0" collapsed="false">
      <c r="A243" s="23" t="n">
        <f aca="false">A242+1</f>
        <v>239</v>
      </c>
      <c r="B243" s="14" t="s">
        <v>257</v>
      </c>
      <c r="C243" s="21" t="n">
        <f aca="false">CODE(RIGHT(B243,1))</f>
        <v>30</v>
      </c>
      <c r="D243" s="14" t="str">
        <f aca="false">CLEAN(B243)</f>
        <v>////PR:Clothing____SP:Carol20171028  $1774    </v>
      </c>
      <c r="E243" s="21" t="n">
        <f aca="false">CODE(RIGHT(D243,1))</f>
        <v>32</v>
      </c>
      <c r="F243" s="14" t="str">
        <f aca="false">SUBSTITUTE(D243,_xlfn.UNICHAR(160)," ")</f>
        <v>////PR:Clothing____SP:Carol20171028  $1774    </v>
      </c>
      <c r="G243" s="14" t="str">
        <f aca="false">SUBSTITUTE(F243,"/","")</f>
        <v>PR:Clothing____SP:Carol20171028  $1774    </v>
      </c>
      <c r="H243" s="14" t="str">
        <f aca="false">SUBSTITUTE(G243,"_"," ")</f>
        <v>PR:Clothing    SP:Carol20171028  $1774    </v>
      </c>
      <c r="I243" s="14" t="str">
        <f aca="false">TRIM(H243)</f>
        <v>PR:Clothing SP:Carol20171028 $1774</v>
      </c>
      <c r="J243" s="21" t="n">
        <f aca="false">LEN(I243)</f>
        <v>34</v>
      </c>
      <c r="K243" s="21" t="n">
        <f aca="false">CODE(RIGHT(I243,1))</f>
        <v>52</v>
      </c>
      <c r="L243" s="14" t="str">
        <f aca="false">SUBSTITUTE(I243,"PR:","")</f>
        <v>Clothing SP:Carol20171028 $1774</v>
      </c>
      <c r="M243" s="14" t="str">
        <f aca="false">SUBSTITUTE(L243,"SP:","")</f>
        <v>Clothing Carol20171028 $1774</v>
      </c>
      <c r="N243" s="15" t="str">
        <f aca="false">SUBSTITUTE(M243,"201710"," 201710")</f>
        <v>Clothing Carol 20171028 $1774</v>
      </c>
      <c r="O243" s="21" t="n">
        <f aca="false">FIND(" ",N243)</f>
        <v>9</v>
      </c>
      <c r="P243" s="21" t="n">
        <f aca="false">FIND(" ",N243,O243+1)</f>
        <v>15</v>
      </c>
      <c r="Q243" s="21" t="n">
        <f aca="false">FIND(" ",N243,P243+1)</f>
        <v>24</v>
      </c>
      <c r="R243" s="26" t="str">
        <f aca="false">LEFT(N243,O243-1)</f>
        <v>Clothing</v>
      </c>
      <c r="S243" s="26" t="str">
        <f aca="false">MID(N243,O243+1,P243-O243-1)</f>
        <v>Carol</v>
      </c>
      <c r="T243" s="26" t="str">
        <f aca="false">MID(N243,P243+1,Q243-P243-1)</f>
        <v>20171028</v>
      </c>
      <c r="U243" s="26" t="n">
        <f aca="false">VALUE(MID(N243,Q243+2,90))</f>
        <v>1774</v>
      </c>
      <c r="V243" s="27" t="n">
        <f aca="false">DATE(2017,10,MID(T243,7,2))</f>
        <v>43036</v>
      </c>
    </row>
    <row r="244" customFormat="false" ht="14.25" hidden="false" customHeight="false" outlineLevel="0" collapsed="false">
      <c r="A244" s="23" t="n">
        <f aca="false">A243+1</f>
        <v>240</v>
      </c>
      <c r="B244" s="14" t="s">
        <v>258</v>
      </c>
      <c r="C244" s="21" t="n">
        <f aca="false">CODE(RIGHT(B244,1))</f>
        <v>31</v>
      </c>
      <c r="D244" s="14" t="str">
        <f aca="false">CLEAN(B244)</f>
        <v>/////PR:Music_____SP:Carol2017106    $1256     </v>
      </c>
      <c r="E244" s="21" t="n">
        <f aca="false">CODE(RIGHT(D244,1))</f>
        <v>32</v>
      </c>
      <c r="F244" s="14" t="str">
        <f aca="false">SUBSTITUTE(D244,_xlfn.UNICHAR(160)," ")</f>
        <v>/////PR:Music_____SP:Carol2017106    $1256     </v>
      </c>
      <c r="G244" s="14" t="str">
        <f aca="false">SUBSTITUTE(F244,"/","")</f>
        <v>PR:Music_____SP:Carol2017106    $1256     </v>
      </c>
      <c r="H244" s="14" t="str">
        <f aca="false">SUBSTITUTE(G244,"_"," ")</f>
        <v>PR:Music     SP:Carol2017106    $1256     </v>
      </c>
      <c r="I244" s="14" t="str">
        <f aca="false">TRIM(H244)</f>
        <v>PR:Music SP:Carol2017106 $1256</v>
      </c>
      <c r="J244" s="21" t="n">
        <f aca="false">LEN(I244)</f>
        <v>30</v>
      </c>
      <c r="K244" s="21" t="n">
        <f aca="false">CODE(RIGHT(I244,1))</f>
        <v>54</v>
      </c>
      <c r="L244" s="14" t="str">
        <f aca="false">SUBSTITUTE(I244,"PR:","")</f>
        <v>Music SP:Carol2017106 $1256</v>
      </c>
      <c r="M244" s="14" t="str">
        <f aca="false">SUBSTITUTE(L244,"SP:","")</f>
        <v>Music Carol2017106 $1256</v>
      </c>
      <c r="N244" s="15" t="str">
        <f aca="false">SUBSTITUTE(M244,"201710"," 201710")</f>
        <v>Music Carol 2017106 $1256</v>
      </c>
      <c r="O244" s="21" t="n">
        <f aca="false">FIND(" ",N244)</f>
        <v>6</v>
      </c>
      <c r="P244" s="21" t="n">
        <f aca="false">FIND(" ",N244,O244+1)</f>
        <v>12</v>
      </c>
      <c r="Q244" s="21" t="n">
        <f aca="false">FIND(" ",N244,P244+1)</f>
        <v>20</v>
      </c>
      <c r="R244" s="26" t="str">
        <f aca="false">LEFT(N244,O244-1)</f>
        <v>Music</v>
      </c>
      <c r="S244" s="26" t="str">
        <f aca="false">MID(N244,O244+1,P244-O244-1)</f>
        <v>Carol</v>
      </c>
      <c r="T244" s="26" t="str">
        <f aca="false">MID(N244,P244+1,Q244-P244-1)</f>
        <v>2017106</v>
      </c>
      <c r="U244" s="26" t="n">
        <f aca="false">VALUE(MID(N244,Q244+2,90))</f>
        <v>1256</v>
      </c>
      <c r="V244" s="27" t="n">
        <f aca="false">DATE(2017,10,MID(T244,7,2))</f>
        <v>43014</v>
      </c>
    </row>
    <row r="245" customFormat="false" ht="14.25" hidden="false" customHeight="false" outlineLevel="0" collapsed="false">
      <c r="A245" s="23" t="n">
        <f aca="false">A244+1</f>
        <v>241</v>
      </c>
      <c r="B245" s="14" t="s">
        <v>259</v>
      </c>
      <c r="C245" s="21" t="n">
        <f aca="false">CODE(RIGHT(B245,1))</f>
        <v>28</v>
      </c>
      <c r="D245" s="14" t="str">
        <f aca="false">CLEAN(B245)</f>
        <v>////PR:Games_____SP:Carol20171028   $1298     </v>
      </c>
      <c r="E245" s="21" t="n">
        <f aca="false">CODE(RIGHT(D245,1))</f>
        <v>32</v>
      </c>
      <c r="F245" s="14" t="str">
        <f aca="false">SUBSTITUTE(D245,_xlfn.UNICHAR(160)," ")</f>
        <v>////PR:Games_____SP:Carol20171028   $1298     </v>
      </c>
      <c r="G245" s="14" t="str">
        <f aca="false">SUBSTITUTE(F245,"/","")</f>
        <v>PR:Games_____SP:Carol20171028   $1298     </v>
      </c>
      <c r="H245" s="14" t="str">
        <f aca="false">SUBSTITUTE(G245,"_"," ")</f>
        <v>PR:Games     SP:Carol20171028   $1298     </v>
      </c>
      <c r="I245" s="14" t="str">
        <f aca="false">TRIM(H245)</f>
        <v>PR:Games SP:Carol20171028 $1298</v>
      </c>
      <c r="J245" s="21" t="n">
        <f aca="false">LEN(I245)</f>
        <v>31</v>
      </c>
      <c r="K245" s="21" t="n">
        <f aca="false">CODE(RIGHT(I245,1))</f>
        <v>56</v>
      </c>
      <c r="L245" s="14" t="str">
        <f aca="false">SUBSTITUTE(I245,"PR:","")</f>
        <v>Games SP:Carol20171028 $1298</v>
      </c>
      <c r="M245" s="14" t="str">
        <f aca="false">SUBSTITUTE(L245,"SP:","")</f>
        <v>Games Carol20171028 $1298</v>
      </c>
      <c r="N245" s="15" t="str">
        <f aca="false">SUBSTITUTE(M245,"201710"," 201710")</f>
        <v>Games Carol 20171028 $1298</v>
      </c>
      <c r="O245" s="21" t="n">
        <f aca="false">FIND(" ",N245)</f>
        <v>6</v>
      </c>
      <c r="P245" s="21" t="n">
        <f aca="false">FIND(" ",N245,O245+1)</f>
        <v>12</v>
      </c>
      <c r="Q245" s="21" t="n">
        <f aca="false">FIND(" ",N245,P245+1)</f>
        <v>21</v>
      </c>
      <c r="R245" s="26" t="str">
        <f aca="false">LEFT(N245,O245-1)</f>
        <v>Games</v>
      </c>
      <c r="S245" s="26" t="str">
        <f aca="false">MID(N245,O245+1,P245-O245-1)</f>
        <v>Carol</v>
      </c>
      <c r="T245" s="26" t="str">
        <f aca="false">MID(N245,P245+1,Q245-P245-1)</f>
        <v>20171028</v>
      </c>
      <c r="U245" s="26" t="n">
        <f aca="false">VALUE(MID(N245,Q245+2,90))</f>
        <v>1298</v>
      </c>
      <c r="V245" s="27" t="n">
        <f aca="false">DATE(2017,10,MID(T245,7,2))</f>
        <v>43036</v>
      </c>
    </row>
    <row r="246" customFormat="false" ht="14.25" hidden="false" customHeight="false" outlineLevel="0" collapsed="false">
      <c r="A246" s="23" t="n">
        <f aca="false">A245+1</f>
        <v>242</v>
      </c>
      <c r="B246" s="14" t="s">
        <v>260</v>
      </c>
      <c r="C246" s="21" t="n">
        <f aca="false">CODE(RIGHT(B246,1))</f>
        <v>28</v>
      </c>
      <c r="D246" s="14" t="str">
        <f aca="false">CLEAN(B246)</f>
        <v>/////PR:Games__SP:Barney20171021  $0 </v>
      </c>
      <c r="E246" s="21" t="n">
        <f aca="false">CODE(RIGHT(D246,1))</f>
        <v>32</v>
      </c>
      <c r="F246" s="14" t="str">
        <f aca="false">SUBSTITUTE(D246,_xlfn.UNICHAR(160)," ")</f>
        <v>/////PR:Games__SP:Barney20171021  $0 </v>
      </c>
      <c r="G246" s="14" t="str">
        <f aca="false">SUBSTITUTE(F246,"/","")</f>
        <v>PR:Games__SP:Barney20171021  $0 </v>
      </c>
      <c r="H246" s="14" t="str">
        <f aca="false">SUBSTITUTE(G246,"_"," ")</f>
        <v>PR:Games  SP:Barney20171021  $0 </v>
      </c>
      <c r="I246" s="14" t="str">
        <f aca="false">TRIM(H246)</f>
        <v>PR:Games SP:Barney20171021 $0</v>
      </c>
      <c r="J246" s="21" t="n">
        <f aca="false">LEN(I246)</f>
        <v>29</v>
      </c>
      <c r="K246" s="21" t="n">
        <f aca="false">CODE(RIGHT(I246,1))</f>
        <v>48</v>
      </c>
      <c r="L246" s="14" t="str">
        <f aca="false">SUBSTITUTE(I246,"PR:","")</f>
        <v>Games SP:Barney20171021 $0</v>
      </c>
      <c r="M246" s="14" t="str">
        <f aca="false">SUBSTITUTE(L246,"SP:","")</f>
        <v>Games Barney20171021 $0</v>
      </c>
      <c r="N246" s="15" t="str">
        <f aca="false">SUBSTITUTE(M246,"201710"," 201710")</f>
        <v>Games Barney 20171021 $0</v>
      </c>
      <c r="O246" s="21" t="n">
        <f aca="false">FIND(" ",N246)</f>
        <v>6</v>
      </c>
      <c r="P246" s="21" t="n">
        <f aca="false">FIND(" ",N246,O246+1)</f>
        <v>13</v>
      </c>
      <c r="Q246" s="21" t="n">
        <f aca="false">FIND(" ",N246,P246+1)</f>
        <v>22</v>
      </c>
      <c r="R246" s="26" t="str">
        <f aca="false">LEFT(N246,O246-1)</f>
        <v>Games</v>
      </c>
      <c r="S246" s="26" t="str">
        <f aca="false">MID(N246,O246+1,P246-O246-1)</f>
        <v>Barney</v>
      </c>
      <c r="T246" s="26" t="str">
        <f aca="false">MID(N246,P246+1,Q246-P246-1)</f>
        <v>20171021</v>
      </c>
      <c r="U246" s="26" t="n">
        <f aca="false">VALUE(MID(N246,Q246+2,90))</f>
        <v>0</v>
      </c>
      <c r="V246" s="27" t="n">
        <f aca="false">DATE(2017,10,MID(T246,7,2))</f>
        <v>43029</v>
      </c>
    </row>
    <row r="247" customFormat="false" ht="14.25" hidden="false" customHeight="false" outlineLevel="0" collapsed="false">
      <c r="A247" s="23" t="n">
        <f aca="false">A246+1</f>
        <v>243</v>
      </c>
      <c r="B247" s="14" t="s">
        <v>261</v>
      </c>
      <c r="C247" s="21" t="n">
        <f aca="false">CODE(RIGHT(B247,1))</f>
        <v>30</v>
      </c>
      <c r="D247" s="14" t="str">
        <f aca="false">CLEAN(B247)</f>
        <v>/PR:Books__SP:Carol2017106  $0    </v>
      </c>
      <c r="E247" s="21" t="n">
        <f aca="false">CODE(RIGHT(D247,1))</f>
        <v>32</v>
      </c>
      <c r="F247" s="14" t="str">
        <f aca="false">SUBSTITUTE(D247,_xlfn.UNICHAR(160)," ")</f>
        <v>/PR:Books__SP:Carol2017106  $0    </v>
      </c>
      <c r="G247" s="14" t="str">
        <f aca="false">SUBSTITUTE(F247,"/","")</f>
        <v>PR:Books__SP:Carol2017106  $0    </v>
      </c>
      <c r="H247" s="14" t="str">
        <f aca="false">SUBSTITUTE(G247,"_"," ")</f>
        <v>PR:Books  SP:Carol2017106  $0    </v>
      </c>
      <c r="I247" s="14" t="str">
        <f aca="false">TRIM(H247)</f>
        <v>PR:Books SP:Carol2017106 $0</v>
      </c>
      <c r="J247" s="21" t="n">
        <f aca="false">LEN(I247)</f>
        <v>27</v>
      </c>
      <c r="K247" s="21" t="n">
        <f aca="false">CODE(RIGHT(I247,1))</f>
        <v>48</v>
      </c>
      <c r="L247" s="14" t="str">
        <f aca="false">SUBSTITUTE(I247,"PR:","")</f>
        <v>Books SP:Carol2017106 $0</v>
      </c>
      <c r="M247" s="14" t="str">
        <f aca="false">SUBSTITUTE(L247,"SP:","")</f>
        <v>Books Carol2017106 $0</v>
      </c>
      <c r="N247" s="15" t="str">
        <f aca="false">SUBSTITUTE(M247,"201710"," 201710")</f>
        <v>Books Carol 2017106 $0</v>
      </c>
      <c r="O247" s="21" t="n">
        <f aca="false">FIND(" ",N247)</f>
        <v>6</v>
      </c>
      <c r="P247" s="21" t="n">
        <f aca="false">FIND(" ",N247,O247+1)</f>
        <v>12</v>
      </c>
      <c r="Q247" s="21" t="n">
        <f aca="false">FIND(" ",N247,P247+1)</f>
        <v>20</v>
      </c>
      <c r="R247" s="26" t="str">
        <f aca="false">LEFT(N247,O247-1)</f>
        <v>Books</v>
      </c>
      <c r="S247" s="26" t="str">
        <f aca="false">MID(N247,O247+1,P247-O247-1)</f>
        <v>Carol</v>
      </c>
      <c r="T247" s="26" t="str">
        <f aca="false">MID(N247,P247+1,Q247-P247-1)</f>
        <v>2017106</v>
      </c>
      <c r="U247" s="26" t="n">
        <f aca="false">VALUE(MID(N247,Q247+2,90))</f>
        <v>0</v>
      </c>
      <c r="V247" s="27" t="n">
        <f aca="false">DATE(2017,10,MID(T247,7,2))</f>
        <v>43014</v>
      </c>
    </row>
    <row r="248" customFormat="false" ht="14.25" hidden="false" customHeight="false" outlineLevel="0" collapsed="false">
      <c r="A248" s="23" t="n">
        <f aca="false">A247+1</f>
        <v>244</v>
      </c>
      <c r="B248" s="14" t="s">
        <v>262</v>
      </c>
      <c r="C248" s="21" t="n">
        <f aca="false">CODE(RIGHT(B248,1))</f>
        <v>31</v>
      </c>
      <c r="D248" s="14" t="str">
        <f aca="false">CLEAN(B248)</f>
        <v>////PR:Clothing_____SP:Carol2017109 $987  </v>
      </c>
      <c r="E248" s="21" t="n">
        <f aca="false">CODE(RIGHT(D248,1))</f>
        <v>32</v>
      </c>
      <c r="F248" s="14" t="str">
        <f aca="false">SUBSTITUTE(D248,_xlfn.UNICHAR(160)," ")</f>
        <v>////PR:Clothing_____SP:Carol2017109 $987  </v>
      </c>
      <c r="G248" s="14" t="str">
        <f aca="false">SUBSTITUTE(F248,"/","")</f>
        <v>PR:Clothing_____SP:Carol2017109 $987  </v>
      </c>
      <c r="H248" s="14" t="str">
        <f aca="false">SUBSTITUTE(G248,"_"," ")</f>
        <v>PR:Clothing     SP:Carol2017109 $987  </v>
      </c>
      <c r="I248" s="14" t="str">
        <f aca="false">TRIM(H248)</f>
        <v>PR:Clothing SP:Carol2017109 $987</v>
      </c>
      <c r="J248" s="21" t="n">
        <f aca="false">LEN(I248)</f>
        <v>32</v>
      </c>
      <c r="K248" s="21" t="n">
        <f aca="false">CODE(RIGHT(I248,1))</f>
        <v>55</v>
      </c>
      <c r="L248" s="14" t="str">
        <f aca="false">SUBSTITUTE(I248,"PR:","")</f>
        <v>Clothing SP:Carol2017109 $987</v>
      </c>
      <c r="M248" s="14" t="str">
        <f aca="false">SUBSTITUTE(L248,"SP:","")</f>
        <v>Clothing Carol2017109 $987</v>
      </c>
      <c r="N248" s="15" t="str">
        <f aca="false">SUBSTITUTE(M248,"201710"," 201710")</f>
        <v>Clothing Carol 2017109 $987</v>
      </c>
      <c r="O248" s="21" t="n">
        <f aca="false">FIND(" ",N248)</f>
        <v>9</v>
      </c>
      <c r="P248" s="21" t="n">
        <f aca="false">FIND(" ",N248,O248+1)</f>
        <v>15</v>
      </c>
      <c r="Q248" s="21" t="n">
        <f aca="false">FIND(" ",N248,P248+1)</f>
        <v>23</v>
      </c>
      <c r="R248" s="26" t="str">
        <f aca="false">LEFT(N248,O248-1)</f>
        <v>Clothing</v>
      </c>
      <c r="S248" s="26" t="str">
        <f aca="false">MID(N248,O248+1,P248-O248-1)</f>
        <v>Carol</v>
      </c>
      <c r="T248" s="26" t="str">
        <f aca="false">MID(N248,P248+1,Q248-P248-1)</f>
        <v>2017109</v>
      </c>
      <c r="U248" s="26" t="n">
        <f aca="false">VALUE(MID(N248,Q248+2,90))</f>
        <v>987</v>
      </c>
      <c r="V248" s="27" t="n">
        <f aca="false">DATE(2017,10,MID(T248,7,2))</f>
        <v>43017</v>
      </c>
    </row>
    <row r="249" customFormat="false" ht="14.25" hidden="false" customHeight="false" outlineLevel="0" collapsed="false">
      <c r="A249" s="23" t="n">
        <f aca="false">A248+1</f>
        <v>245</v>
      </c>
      <c r="B249" s="14" t="s">
        <v>263</v>
      </c>
      <c r="C249" s="21" t="n">
        <f aca="false">CODE(RIGHT(B249,1))</f>
        <v>28</v>
      </c>
      <c r="D249" s="14" t="str">
        <f aca="false">CLEAN(B249)</f>
        <v>///PR:Music____SP:David20171013  $1454    </v>
      </c>
      <c r="E249" s="21" t="n">
        <f aca="false">CODE(RIGHT(D249,1))</f>
        <v>32</v>
      </c>
      <c r="F249" s="14" t="str">
        <f aca="false">SUBSTITUTE(D249,_xlfn.UNICHAR(160)," ")</f>
        <v>///PR:Music____SP:David20171013  $1454    </v>
      </c>
      <c r="G249" s="14" t="str">
        <f aca="false">SUBSTITUTE(F249,"/","")</f>
        <v>PR:Music____SP:David20171013  $1454    </v>
      </c>
      <c r="H249" s="14" t="str">
        <f aca="false">SUBSTITUTE(G249,"_"," ")</f>
        <v>PR:Music    SP:David20171013  $1454    </v>
      </c>
      <c r="I249" s="14" t="str">
        <f aca="false">TRIM(H249)</f>
        <v>PR:Music SP:David20171013 $1454</v>
      </c>
      <c r="J249" s="21" t="n">
        <f aca="false">LEN(I249)</f>
        <v>31</v>
      </c>
      <c r="K249" s="21" t="n">
        <f aca="false">CODE(RIGHT(I249,1))</f>
        <v>52</v>
      </c>
      <c r="L249" s="14" t="str">
        <f aca="false">SUBSTITUTE(I249,"PR:","")</f>
        <v>Music SP:David20171013 $1454</v>
      </c>
      <c r="M249" s="14" t="str">
        <f aca="false">SUBSTITUTE(L249,"SP:","")</f>
        <v>Music David20171013 $1454</v>
      </c>
      <c r="N249" s="15" t="str">
        <f aca="false">SUBSTITUTE(M249,"201710"," 201710")</f>
        <v>Music David 20171013 $1454</v>
      </c>
      <c r="O249" s="21" t="n">
        <f aca="false">FIND(" ",N249)</f>
        <v>6</v>
      </c>
      <c r="P249" s="21" t="n">
        <f aca="false">FIND(" ",N249,O249+1)</f>
        <v>12</v>
      </c>
      <c r="Q249" s="21" t="n">
        <f aca="false">FIND(" ",N249,P249+1)</f>
        <v>21</v>
      </c>
      <c r="R249" s="26" t="str">
        <f aca="false">LEFT(N249,O249-1)</f>
        <v>Music</v>
      </c>
      <c r="S249" s="26" t="str">
        <f aca="false">MID(N249,O249+1,P249-O249-1)</f>
        <v>David</v>
      </c>
      <c r="T249" s="26" t="str">
        <f aca="false">MID(N249,P249+1,Q249-P249-1)</f>
        <v>20171013</v>
      </c>
      <c r="U249" s="26" t="n">
        <f aca="false">VALUE(MID(N249,Q249+2,90))</f>
        <v>1454</v>
      </c>
      <c r="V249" s="27" t="n">
        <f aca="false">DATE(2017,10,MID(T249,7,2))</f>
        <v>43021</v>
      </c>
    </row>
    <row r="250" customFormat="false" ht="14.25" hidden="false" customHeight="false" outlineLevel="0" collapsed="false">
      <c r="A250" s="23" t="n">
        <f aca="false">A249+1</f>
        <v>246</v>
      </c>
      <c r="B250" s="14" t="s">
        <v>264</v>
      </c>
      <c r="C250" s="21" t="n">
        <f aca="false">CODE(RIGHT(B250,1))</f>
        <v>31</v>
      </c>
      <c r="D250" s="14" t="str">
        <f aca="false">CLEAN(B250)</f>
        <v>/////PR:Games___SP:Carol20171029 $0 </v>
      </c>
      <c r="E250" s="21" t="n">
        <f aca="false">CODE(RIGHT(D250,1))</f>
        <v>32</v>
      </c>
      <c r="F250" s="14" t="str">
        <f aca="false">SUBSTITUTE(D250,_xlfn.UNICHAR(160)," ")</f>
        <v>/////PR:Games___SP:Carol20171029 $0 </v>
      </c>
      <c r="G250" s="14" t="str">
        <f aca="false">SUBSTITUTE(F250,"/","")</f>
        <v>PR:Games___SP:Carol20171029 $0 </v>
      </c>
      <c r="H250" s="14" t="str">
        <f aca="false">SUBSTITUTE(G250,"_"," ")</f>
        <v>PR:Games   SP:Carol20171029 $0 </v>
      </c>
      <c r="I250" s="14" t="str">
        <f aca="false">TRIM(H250)</f>
        <v>PR:Games SP:Carol20171029 $0</v>
      </c>
      <c r="J250" s="21" t="n">
        <f aca="false">LEN(I250)</f>
        <v>28</v>
      </c>
      <c r="K250" s="21" t="n">
        <f aca="false">CODE(RIGHT(I250,1))</f>
        <v>48</v>
      </c>
      <c r="L250" s="14" t="str">
        <f aca="false">SUBSTITUTE(I250,"PR:","")</f>
        <v>Games SP:Carol20171029 $0</v>
      </c>
      <c r="M250" s="14" t="str">
        <f aca="false">SUBSTITUTE(L250,"SP:","")</f>
        <v>Games Carol20171029 $0</v>
      </c>
      <c r="N250" s="15" t="str">
        <f aca="false">SUBSTITUTE(M250,"201710"," 201710")</f>
        <v>Games Carol 20171029 $0</v>
      </c>
      <c r="O250" s="21" t="n">
        <f aca="false">FIND(" ",N250)</f>
        <v>6</v>
      </c>
      <c r="P250" s="21" t="n">
        <f aca="false">FIND(" ",N250,O250+1)</f>
        <v>12</v>
      </c>
      <c r="Q250" s="21" t="n">
        <f aca="false">FIND(" ",N250,P250+1)</f>
        <v>21</v>
      </c>
      <c r="R250" s="26" t="str">
        <f aca="false">LEFT(N250,O250-1)</f>
        <v>Games</v>
      </c>
      <c r="S250" s="26" t="str">
        <f aca="false">MID(N250,O250+1,P250-O250-1)</f>
        <v>Carol</v>
      </c>
      <c r="T250" s="26" t="str">
        <f aca="false">MID(N250,P250+1,Q250-P250-1)</f>
        <v>20171029</v>
      </c>
      <c r="U250" s="26" t="n">
        <f aca="false">VALUE(MID(N250,Q250+2,90))</f>
        <v>0</v>
      </c>
      <c r="V250" s="27" t="n">
        <f aca="false">DATE(2017,10,MID(T250,7,2))</f>
        <v>43037</v>
      </c>
    </row>
    <row r="251" customFormat="false" ht="14.25" hidden="false" customHeight="false" outlineLevel="0" collapsed="false">
      <c r="A251" s="23" t="n">
        <f aca="false">A250+1</f>
        <v>247</v>
      </c>
      <c r="B251" s="14" t="s">
        <v>265</v>
      </c>
      <c r="C251" s="21" t="n">
        <f aca="false">CODE(RIGHT(B251,1))</f>
        <v>29</v>
      </c>
      <c r="D251" s="14" t="str">
        <f aca="false">CLEAN(B251)</f>
        <v>/////PR:Games_SP:Carol20171030   $803  </v>
      </c>
      <c r="E251" s="21" t="n">
        <f aca="false">CODE(RIGHT(D251,1))</f>
        <v>32</v>
      </c>
      <c r="F251" s="14" t="str">
        <f aca="false">SUBSTITUTE(D251,_xlfn.UNICHAR(160)," ")</f>
        <v>/////PR:Games_SP:Carol20171030   $803  </v>
      </c>
      <c r="G251" s="14" t="str">
        <f aca="false">SUBSTITUTE(F251,"/","")</f>
        <v>PR:Games_SP:Carol20171030   $803  </v>
      </c>
      <c r="H251" s="14" t="str">
        <f aca="false">SUBSTITUTE(G251,"_"," ")</f>
        <v>PR:Games SP:Carol20171030   $803  </v>
      </c>
      <c r="I251" s="14" t="str">
        <f aca="false">TRIM(H251)</f>
        <v>PR:Games SP:Carol20171030 $803</v>
      </c>
      <c r="J251" s="21" t="n">
        <f aca="false">LEN(I251)</f>
        <v>30</v>
      </c>
      <c r="K251" s="21" t="n">
        <f aca="false">CODE(RIGHT(I251,1))</f>
        <v>51</v>
      </c>
      <c r="L251" s="14" t="str">
        <f aca="false">SUBSTITUTE(I251,"PR:","")</f>
        <v>Games SP:Carol20171030 $803</v>
      </c>
      <c r="M251" s="14" t="str">
        <f aca="false">SUBSTITUTE(L251,"SP:","")</f>
        <v>Games Carol20171030 $803</v>
      </c>
      <c r="N251" s="15" t="str">
        <f aca="false">SUBSTITUTE(M251,"201710"," 201710")</f>
        <v>Games Carol 20171030 $803</v>
      </c>
      <c r="O251" s="21" t="n">
        <f aca="false">FIND(" ",N251)</f>
        <v>6</v>
      </c>
      <c r="P251" s="21" t="n">
        <f aca="false">FIND(" ",N251,O251+1)</f>
        <v>12</v>
      </c>
      <c r="Q251" s="21" t="n">
        <f aca="false">FIND(" ",N251,P251+1)</f>
        <v>21</v>
      </c>
      <c r="R251" s="26" t="str">
        <f aca="false">LEFT(N251,O251-1)</f>
        <v>Games</v>
      </c>
      <c r="S251" s="26" t="str">
        <f aca="false">MID(N251,O251+1,P251-O251-1)</f>
        <v>Carol</v>
      </c>
      <c r="T251" s="26" t="str">
        <f aca="false">MID(N251,P251+1,Q251-P251-1)</f>
        <v>20171030</v>
      </c>
      <c r="U251" s="26" t="n">
        <f aca="false">VALUE(MID(N251,Q251+2,90))</f>
        <v>803</v>
      </c>
      <c r="V251" s="27" t="n">
        <f aca="false">DATE(2017,10,MID(T251,7,2))</f>
        <v>43038</v>
      </c>
    </row>
    <row r="252" customFormat="false" ht="14.25" hidden="false" customHeight="false" outlineLevel="0" collapsed="false">
      <c r="A252" s="23" t="n">
        <f aca="false">A251+1</f>
        <v>248</v>
      </c>
      <c r="B252" s="14" t="s">
        <v>266</v>
      </c>
      <c r="C252" s="21" t="n">
        <f aca="false">CODE(RIGHT(B252,1))</f>
        <v>31</v>
      </c>
      <c r="D252" s="14" t="str">
        <f aca="false">CLEAN(B252)</f>
        <v>///PR:Games_SP:Barney2017105 $0    </v>
      </c>
      <c r="E252" s="21" t="n">
        <f aca="false">CODE(RIGHT(D252,1))</f>
        <v>32</v>
      </c>
      <c r="F252" s="14" t="str">
        <f aca="false">SUBSTITUTE(D252,_xlfn.UNICHAR(160)," ")</f>
        <v>///PR:Games_SP:Barney2017105 $0    </v>
      </c>
      <c r="G252" s="14" t="str">
        <f aca="false">SUBSTITUTE(F252,"/","")</f>
        <v>PR:Games_SP:Barney2017105 $0    </v>
      </c>
      <c r="H252" s="14" t="str">
        <f aca="false">SUBSTITUTE(G252,"_"," ")</f>
        <v>PR:Games SP:Barney2017105 $0    </v>
      </c>
      <c r="I252" s="14" t="str">
        <f aca="false">TRIM(H252)</f>
        <v>PR:Games SP:Barney2017105 $0</v>
      </c>
      <c r="J252" s="21" t="n">
        <f aca="false">LEN(I252)</f>
        <v>28</v>
      </c>
      <c r="K252" s="21" t="n">
        <f aca="false">CODE(RIGHT(I252,1))</f>
        <v>48</v>
      </c>
      <c r="L252" s="14" t="str">
        <f aca="false">SUBSTITUTE(I252,"PR:","")</f>
        <v>Games SP:Barney2017105 $0</v>
      </c>
      <c r="M252" s="14" t="str">
        <f aca="false">SUBSTITUTE(L252,"SP:","")</f>
        <v>Games Barney2017105 $0</v>
      </c>
      <c r="N252" s="15" t="str">
        <f aca="false">SUBSTITUTE(M252,"201710"," 201710")</f>
        <v>Games Barney 2017105 $0</v>
      </c>
      <c r="O252" s="21" t="n">
        <f aca="false">FIND(" ",N252)</f>
        <v>6</v>
      </c>
      <c r="P252" s="21" t="n">
        <f aca="false">FIND(" ",N252,O252+1)</f>
        <v>13</v>
      </c>
      <c r="Q252" s="21" t="n">
        <f aca="false">FIND(" ",N252,P252+1)</f>
        <v>21</v>
      </c>
      <c r="R252" s="26" t="str">
        <f aca="false">LEFT(N252,O252-1)</f>
        <v>Games</v>
      </c>
      <c r="S252" s="26" t="str">
        <f aca="false">MID(N252,O252+1,P252-O252-1)</f>
        <v>Barney</v>
      </c>
      <c r="T252" s="26" t="str">
        <f aca="false">MID(N252,P252+1,Q252-P252-1)</f>
        <v>2017105</v>
      </c>
      <c r="U252" s="26" t="n">
        <f aca="false">VALUE(MID(N252,Q252+2,90))</f>
        <v>0</v>
      </c>
      <c r="V252" s="27" t="n">
        <f aca="false">DATE(2017,10,MID(T252,7,2))</f>
        <v>43013</v>
      </c>
    </row>
    <row r="253" customFormat="false" ht="14.25" hidden="false" customHeight="false" outlineLevel="0" collapsed="false">
      <c r="A253" s="23" t="n">
        <f aca="false">A252+1</f>
        <v>249</v>
      </c>
      <c r="B253" s="14" t="s">
        <v>267</v>
      </c>
      <c r="C253" s="21" t="n">
        <f aca="false">CODE(RIGHT(B253,1))</f>
        <v>28</v>
      </c>
      <c r="D253" s="14" t="str">
        <f aca="false">CLEAN(B253)</f>
        <v>////PR:Clothing_____SP:Barney20171030  $0 </v>
      </c>
      <c r="E253" s="21" t="n">
        <f aca="false">CODE(RIGHT(D253,1))</f>
        <v>32</v>
      </c>
      <c r="F253" s="14" t="str">
        <f aca="false">SUBSTITUTE(D253,_xlfn.UNICHAR(160)," ")</f>
        <v>////PR:Clothing_____SP:Barney20171030  $0 </v>
      </c>
      <c r="G253" s="14" t="str">
        <f aca="false">SUBSTITUTE(F253,"/","")</f>
        <v>PR:Clothing_____SP:Barney20171030  $0 </v>
      </c>
      <c r="H253" s="14" t="str">
        <f aca="false">SUBSTITUTE(G253,"_"," ")</f>
        <v>PR:Clothing     SP:Barney20171030  $0 </v>
      </c>
      <c r="I253" s="14" t="str">
        <f aca="false">TRIM(H253)</f>
        <v>PR:Clothing SP:Barney20171030 $0</v>
      </c>
      <c r="J253" s="21" t="n">
        <f aca="false">LEN(I253)</f>
        <v>32</v>
      </c>
      <c r="K253" s="21" t="n">
        <f aca="false">CODE(RIGHT(I253,1))</f>
        <v>48</v>
      </c>
      <c r="L253" s="14" t="str">
        <f aca="false">SUBSTITUTE(I253,"PR:","")</f>
        <v>Clothing SP:Barney20171030 $0</v>
      </c>
      <c r="M253" s="14" t="str">
        <f aca="false">SUBSTITUTE(L253,"SP:","")</f>
        <v>Clothing Barney20171030 $0</v>
      </c>
      <c r="N253" s="15" t="str">
        <f aca="false">SUBSTITUTE(M253,"201710"," 201710")</f>
        <v>Clothing Barney 20171030 $0</v>
      </c>
      <c r="O253" s="21" t="n">
        <f aca="false">FIND(" ",N253)</f>
        <v>9</v>
      </c>
      <c r="P253" s="21" t="n">
        <f aca="false">FIND(" ",N253,O253+1)</f>
        <v>16</v>
      </c>
      <c r="Q253" s="21" t="n">
        <f aca="false">FIND(" ",N253,P253+1)</f>
        <v>25</v>
      </c>
      <c r="R253" s="26" t="str">
        <f aca="false">LEFT(N253,O253-1)</f>
        <v>Clothing</v>
      </c>
      <c r="S253" s="26" t="str">
        <f aca="false">MID(N253,O253+1,P253-O253-1)</f>
        <v>Barney</v>
      </c>
      <c r="T253" s="26" t="str">
        <f aca="false">MID(N253,P253+1,Q253-P253-1)</f>
        <v>20171030</v>
      </c>
      <c r="U253" s="26" t="n">
        <f aca="false">VALUE(MID(N253,Q253+2,90))</f>
        <v>0</v>
      </c>
      <c r="V253" s="27" t="n">
        <f aca="false">DATE(2017,10,MID(T253,7,2))</f>
        <v>43038</v>
      </c>
    </row>
    <row r="254" customFormat="false" ht="14.25" hidden="false" customHeight="false" outlineLevel="0" collapsed="false">
      <c r="A254" s="23" t="n">
        <f aca="false">A253+1</f>
        <v>250</v>
      </c>
      <c r="B254" s="14" t="s">
        <v>268</v>
      </c>
      <c r="C254" s="21" t="n">
        <f aca="false">CODE(RIGHT(B254,1))</f>
        <v>30</v>
      </c>
      <c r="D254" s="14" t="str">
        <f aca="false">CLEAN(B254)</f>
        <v>///PR:Music___SP:Barney20171030 $1227  </v>
      </c>
      <c r="E254" s="21" t="n">
        <f aca="false">CODE(RIGHT(D254,1))</f>
        <v>32</v>
      </c>
      <c r="F254" s="14" t="str">
        <f aca="false">SUBSTITUTE(D254,_xlfn.UNICHAR(160)," ")</f>
        <v>///PR:Music___SP:Barney20171030 $1227  </v>
      </c>
      <c r="G254" s="14" t="str">
        <f aca="false">SUBSTITUTE(F254,"/","")</f>
        <v>PR:Music___SP:Barney20171030 $1227  </v>
      </c>
      <c r="H254" s="14" t="str">
        <f aca="false">SUBSTITUTE(G254,"_"," ")</f>
        <v>PR:Music   SP:Barney20171030 $1227  </v>
      </c>
      <c r="I254" s="14" t="str">
        <f aca="false">TRIM(H254)</f>
        <v>PR:Music SP:Barney20171030 $1227</v>
      </c>
      <c r="J254" s="21" t="n">
        <f aca="false">LEN(I254)</f>
        <v>32</v>
      </c>
      <c r="K254" s="21" t="n">
        <f aca="false">CODE(RIGHT(I254,1))</f>
        <v>55</v>
      </c>
      <c r="L254" s="14" t="str">
        <f aca="false">SUBSTITUTE(I254,"PR:","")</f>
        <v>Music SP:Barney20171030 $1227</v>
      </c>
      <c r="M254" s="14" t="str">
        <f aca="false">SUBSTITUTE(L254,"SP:","")</f>
        <v>Music Barney20171030 $1227</v>
      </c>
      <c r="N254" s="15" t="str">
        <f aca="false">SUBSTITUTE(M254,"201710"," 201710")</f>
        <v>Music Barney 20171030 $1227</v>
      </c>
      <c r="O254" s="21" t="n">
        <f aca="false">FIND(" ",N254)</f>
        <v>6</v>
      </c>
      <c r="P254" s="21" t="n">
        <f aca="false">FIND(" ",N254,O254+1)</f>
        <v>13</v>
      </c>
      <c r="Q254" s="21" t="n">
        <f aca="false">FIND(" ",N254,P254+1)</f>
        <v>22</v>
      </c>
      <c r="R254" s="26" t="str">
        <f aca="false">LEFT(N254,O254-1)</f>
        <v>Music</v>
      </c>
      <c r="S254" s="26" t="str">
        <f aca="false">MID(N254,O254+1,P254-O254-1)</f>
        <v>Barney</v>
      </c>
      <c r="T254" s="26" t="str">
        <f aca="false">MID(N254,P254+1,Q254-P254-1)</f>
        <v>20171030</v>
      </c>
      <c r="U254" s="26" t="n">
        <f aca="false">VALUE(MID(N254,Q254+2,90))</f>
        <v>1227</v>
      </c>
      <c r="V254" s="27" t="n">
        <f aca="false">DATE(2017,10,MID(T254,7,2))</f>
        <v>43038</v>
      </c>
    </row>
    <row r="255" customFormat="false" ht="14.25" hidden="false" customHeight="false" outlineLevel="0" collapsed="false">
      <c r="A255" s="23" t="n">
        <f aca="false">A254+1</f>
        <v>251</v>
      </c>
      <c r="B255" s="14" t="s">
        <v>269</v>
      </c>
      <c r="C255" s="21" t="n">
        <f aca="false">CODE(RIGHT(B255,1))</f>
        <v>28</v>
      </c>
      <c r="D255" s="14" t="str">
        <f aca="false">CLEAN(B255)</f>
        <v>/////PR:Music____SP:Alice20171027   $1325   </v>
      </c>
      <c r="E255" s="21" t="n">
        <f aca="false">CODE(RIGHT(D255,1))</f>
        <v>32</v>
      </c>
      <c r="F255" s="14" t="str">
        <f aca="false">SUBSTITUTE(D255,_xlfn.UNICHAR(160)," ")</f>
        <v>/////PR:Music____SP:Alice20171027   $1325   </v>
      </c>
      <c r="G255" s="14" t="str">
        <f aca="false">SUBSTITUTE(F255,"/","")</f>
        <v>PR:Music____SP:Alice20171027   $1325   </v>
      </c>
      <c r="H255" s="14" t="str">
        <f aca="false">SUBSTITUTE(G255,"_"," ")</f>
        <v>PR:Music    SP:Alice20171027   $1325   </v>
      </c>
      <c r="I255" s="14" t="str">
        <f aca="false">TRIM(H255)</f>
        <v>PR:Music SP:Alice20171027 $1325</v>
      </c>
      <c r="J255" s="21" t="n">
        <f aca="false">LEN(I255)</f>
        <v>31</v>
      </c>
      <c r="K255" s="21" t="n">
        <f aca="false">CODE(RIGHT(I255,1))</f>
        <v>53</v>
      </c>
      <c r="L255" s="14" t="str">
        <f aca="false">SUBSTITUTE(I255,"PR:","")</f>
        <v>Music SP:Alice20171027 $1325</v>
      </c>
      <c r="M255" s="14" t="str">
        <f aca="false">SUBSTITUTE(L255,"SP:","")</f>
        <v>Music Alice20171027 $1325</v>
      </c>
      <c r="N255" s="15" t="str">
        <f aca="false">SUBSTITUTE(M255,"201710"," 201710")</f>
        <v>Music Alice 20171027 $1325</v>
      </c>
      <c r="O255" s="21" t="n">
        <f aca="false">FIND(" ",N255)</f>
        <v>6</v>
      </c>
      <c r="P255" s="21" t="n">
        <f aca="false">FIND(" ",N255,O255+1)</f>
        <v>12</v>
      </c>
      <c r="Q255" s="21" t="n">
        <f aca="false">FIND(" ",N255,P255+1)</f>
        <v>21</v>
      </c>
      <c r="R255" s="26" t="str">
        <f aca="false">LEFT(N255,O255-1)</f>
        <v>Music</v>
      </c>
      <c r="S255" s="26" t="str">
        <f aca="false">MID(N255,O255+1,P255-O255-1)</f>
        <v>Alice</v>
      </c>
      <c r="T255" s="26" t="str">
        <f aca="false">MID(N255,P255+1,Q255-P255-1)</f>
        <v>20171027</v>
      </c>
      <c r="U255" s="26" t="n">
        <f aca="false">VALUE(MID(N255,Q255+2,90))</f>
        <v>1325</v>
      </c>
      <c r="V255" s="27" t="n">
        <f aca="false">DATE(2017,10,MID(T255,7,2))</f>
        <v>43035</v>
      </c>
    </row>
    <row r="256" customFormat="false" ht="14.25" hidden="false" customHeight="false" outlineLevel="0" collapsed="false">
      <c r="A256" s="23" t="n">
        <f aca="false">A255+1</f>
        <v>252</v>
      </c>
      <c r="B256" s="14" t="s">
        <v>270</v>
      </c>
      <c r="C256" s="21" t="n">
        <f aca="false">CODE(RIGHT(B256,1))</f>
        <v>31</v>
      </c>
      <c r="D256" s="14" t="str">
        <f aca="false">CLEAN(B256)</f>
        <v>////PR:Clothing_____SP:David20171018   $0     </v>
      </c>
      <c r="E256" s="21" t="n">
        <f aca="false">CODE(RIGHT(D256,1))</f>
        <v>32</v>
      </c>
      <c r="F256" s="14" t="str">
        <f aca="false">SUBSTITUTE(D256,_xlfn.UNICHAR(160)," ")</f>
        <v>////PR:Clothing_____SP:David20171018   $0     </v>
      </c>
      <c r="G256" s="14" t="str">
        <f aca="false">SUBSTITUTE(F256,"/","")</f>
        <v>PR:Clothing_____SP:David20171018   $0     </v>
      </c>
      <c r="H256" s="14" t="str">
        <f aca="false">SUBSTITUTE(G256,"_"," ")</f>
        <v>PR:Clothing     SP:David20171018   $0     </v>
      </c>
      <c r="I256" s="14" t="str">
        <f aca="false">TRIM(H256)</f>
        <v>PR:Clothing SP:David20171018 $0</v>
      </c>
      <c r="J256" s="21" t="n">
        <f aca="false">LEN(I256)</f>
        <v>31</v>
      </c>
      <c r="K256" s="21" t="n">
        <f aca="false">CODE(RIGHT(I256,1))</f>
        <v>48</v>
      </c>
      <c r="L256" s="14" t="str">
        <f aca="false">SUBSTITUTE(I256,"PR:","")</f>
        <v>Clothing SP:David20171018 $0</v>
      </c>
      <c r="M256" s="14" t="str">
        <f aca="false">SUBSTITUTE(L256,"SP:","")</f>
        <v>Clothing David20171018 $0</v>
      </c>
      <c r="N256" s="15" t="str">
        <f aca="false">SUBSTITUTE(M256,"201710"," 201710")</f>
        <v>Clothing David 20171018 $0</v>
      </c>
      <c r="O256" s="21" t="n">
        <f aca="false">FIND(" ",N256)</f>
        <v>9</v>
      </c>
      <c r="P256" s="21" t="n">
        <f aca="false">FIND(" ",N256,O256+1)</f>
        <v>15</v>
      </c>
      <c r="Q256" s="21" t="n">
        <f aca="false">FIND(" ",N256,P256+1)</f>
        <v>24</v>
      </c>
      <c r="R256" s="26" t="str">
        <f aca="false">LEFT(N256,O256-1)</f>
        <v>Clothing</v>
      </c>
      <c r="S256" s="26" t="str">
        <f aca="false">MID(N256,O256+1,P256-O256-1)</f>
        <v>David</v>
      </c>
      <c r="T256" s="26" t="str">
        <f aca="false">MID(N256,P256+1,Q256-P256-1)</f>
        <v>20171018</v>
      </c>
      <c r="U256" s="26" t="n">
        <f aca="false">VALUE(MID(N256,Q256+2,90))</f>
        <v>0</v>
      </c>
      <c r="V256" s="27" t="n">
        <f aca="false">DATE(2017,10,MID(T256,7,2))</f>
        <v>43026</v>
      </c>
    </row>
    <row r="257" customFormat="false" ht="14.25" hidden="false" customHeight="false" outlineLevel="0" collapsed="false">
      <c r="A257" s="23" t="n">
        <f aca="false">A256+1</f>
        <v>253</v>
      </c>
      <c r="B257" s="14" t="s">
        <v>271</v>
      </c>
      <c r="C257" s="21" t="n">
        <f aca="false">CODE(RIGHT(B257,1))</f>
        <v>31</v>
      </c>
      <c r="D257" s="14" t="str">
        <f aca="false">CLEAN(B257)</f>
        <v>////PR:Games_____SP:Alice20171024   $1035  </v>
      </c>
      <c r="E257" s="21" t="n">
        <f aca="false">CODE(RIGHT(D257,1))</f>
        <v>32</v>
      </c>
      <c r="F257" s="14" t="str">
        <f aca="false">SUBSTITUTE(D257,_xlfn.UNICHAR(160)," ")</f>
        <v>////PR:Games_____SP:Alice20171024   $1035  </v>
      </c>
      <c r="G257" s="14" t="str">
        <f aca="false">SUBSTITUTE(F257,"/","")</f>
        <v>PR:Games_____SP:Alice20171024   $1035  </v>
      </c>
      <c r="H257" s="14" t="str">
        <f aca="false">SUBSTITUTE(G257,"_"," ")</f>
        <v>PR:Games     SP:Alice20171024   $1035  </v>
      </c>
      <c r="I257" s="14" t="str">
        <f aca="false">TRIM(H257)</f>
        <v>PR:Games SP:Alice20171024 $1035</v>
      </c>
      <c r="J257" s="21" t="n">
        <f aca="false">LEN(I257)</f>
        <v>31</v>
      </c>
      <c r="K257" s="21" t="n">
        <f aca="false">CODE(RIGHT(I257,1))</f>
        <v>53</v>
      </c>
      <c r="L257" s="14" t="str">
        <f aca="false">SUBSTITUTE(I257,"PR:","")</f>
        <v>Games SP:Alice20171024 $1035</v>
      </c>
      <c r="M257" s="14" t="str">
        <f aca="false">SUBSTITUTE(L257,"SP:","")</f>
        <v>Games Alice20171024 $1035</v>
      </c>
      <c r="N257" s="15" t="str">
        <f aca="false">SUBSTITUTE(M257,"201710"," 201710")</f>
        <v>Games Alice 20171024 $1035</v>
      </c>
      <c r="O257" s="21" t="n">
        <f aca="false">FIND(" ",N257)</f>
        <v>6</v>
      </c>
      <c r="P257" s="21" t="n">
        <f aca="false">FIND(" ",N257,O257+1)</f>
        <v>12</v>
      </c>
      <c r="Q257" s="21" t="n">
        <f aca="false">FIND(" ",N257,P257+1)</f>
        <v>21</v>
      </c>
      <c r="R257" s="26" t="str">
        <f aca="false">LEFT(N257,O257-1)</f>
        <v>Games</v>
      </c>
      <c r="S257" s="26" t="str">
        <f aca="false">MID(N257,O257+1,P257-O257-1)</f>
        <v>Alice</v>
      </c>
      <c r="T257" s="26" t="str">
        <f aca="false">MID(N257,P257+1,Q257-P257-1)</f>
        <v>20171024</v>
      </c>
      <c r="U257" s="26" t="n">
        <f aca="false">VALUE(MID(N257,Q257+2,90))</f>
        <v>1035</v>
      </c>
      <c r="V257" s="27" t="n">
        <f aca="false">DATE(2017,10,MID(T257,7,2))</f>
        <v>43032</v>
      </c>
    </row>
    <row r="258" customFormat="false" ht="14.25" hidden="false" customHeight="false" outlineLevel="0" collapsed="false">
      <c r="A258" s="23" t="n">
        <f aca="false">A257+1</f>
        <v>254</v>
      </c>
      <c r="B258" s="14" t="s">
        <v>272</v>
      </c>
      <c r="C258" s="21" t="n">
        <f aca="false">CODE(RIGHT(B258,1))</f>
        <v>28</v>
      </c>
      <c r="D258" s="14" t="str">
        <f aca="false">CLEAN(B258)</f>
        <v>///PR:Books___SP:David20171030 $553 </v>
      </c>
      <c r="E258" s="21" t="n">
        <f aca="false">CODE(RIGHT(D258,1))</f>
        <v>32</v>
      </c>
      <c r="F258" s="14" t="str">
        <f aca="false">SUBSTITUTE(D258,_xlfn.UNICHAR(160)," ")</f>
        <v>///PR:Books___SP:David20171030 $553 </v>
      </c>
      <c r="G258" s="14" t="str">
        <f aca="false">SUBSTITUTE(F258,"/","")</f>
        <v>PR:Books___SP:David20171030 $553 </v>
      </c>
      <c r="H258" s="14" t="str">
        <f aca="false">SUBSTITUTE(G258,"_"," ")</f>
        <v>PR:Books   SP:David20171030 $553 </v>
      </c>
      <c r="I258" s="14" t="str">
        <f aca="false">TRIM(H258)</f>
        <v>PR:Books SP:David20171030 $553</v>
      </c>
      <c r="J258" s="21" t="n">
        <f aca="false">LEN(I258)</f>
        <v>30</v>
      </c>
      <c r="K258" s="21" t="n">
        <f aca="false">CODE(RIGHT(I258,1))</f>
        <v>51</v>
      </c>
      <c r="L258" s="14" t="str">
        <f aca="false">SUBSTITUTE(I258,"PR:","")</f>
        <v>Books SP:David20171030 $553</v>
      </c>
      <c r="M258" s="14" t="str">
        <f aca="false">SUBSTITUTE(L258,"SP:","")</f>
        <v>Books David20171030 $553</v>
      </c>
      <c r="N258" s="15" t="str">
        <f aca="false">SUBSTITUTE(M258,"201710"," 201710")</f>
        <v>Books David 20171030 $553</v>
      </c>
      <c r="O258" s="21" t="n">
        <f aca="false">FIND(" ",N258)</f>
        <v>6</v>
      </c>
      <c r="P258" s="21" t="n">
        <f aca="false">FIND(" ",N258,O258+1)</f>
        <v>12</v>
      </c>
      <c r="Q258" s="21" t="n">
        <f aca="false">FIND(" ",N258,P258+1)</f>
        <v>21</v>
      </c>
      <c r="R258" s="26" t="str">
        <f aca="false">LEFT(N258,O258-1)</f>
        <v>Books</v>
      </c>
      <c r="S258" s="26" t="str">
        <f aca="false">MID(N258,O258+1,P258-O258-1)</f>
        <v>David</v>
      </c>
      <c r="T258" s="26" t="str">
        <f aca="false">MID(N258,P258+1,Q258-P258-1)</f>
        <v>20171030</v>
      </c>
      <c r="U258" s="26" t="n">
        <f aca="false">VALUE(MID(N258,Q258+2,90))</f>
        <v>553</v>
      </c>
      <c r="V258" s="27" t="n">
        <f aca="false">DATE(2017,10,MID(T258,7,2))</f>
        <v>43038</v>
      </c>
    </row>
    <row r="259" customFormat="false" ht="14.25" hidden="false" customHeight="false" outlineLevel="0" collapsed="false">
      <c r="A259" s="23" t="n">
        <f aca="false">A258+1</f>
        <v>255</v>
      </c>
      <c r="B259" s="14" t="s">
        <v>273</v>
      </c>
      <c r="C259" s="21" t="n">
        <f aca="false">CODE(RIGHT(B259,1))</f>
        <v>28</v>
      </c>
      <c r="D259" s="14" t="str">
        <f aca="false">CLEAN(B259)</f>
        <v>//PR:Music___SP:Barney20171021 $1139 </v>
      </c>
      <c r="E259" s="21" t="n">
        <f aca="false">CODE(RIGHT(D259,1))</f>
        <v>32</v>
      </c>
      <c r="F259" s="14" t="str">
        <f aca="false">SUBSTITUTE(D259,_xlfn.UNICHAR(160)," ")</f>
        <v>//PR:Music___SP:Barney20171021 $1139 </v>
      </c>
      <c r="G259" s="14" t="str">
        <f aca="false">SUBSTITUTE(F259,"/","")</f>
        <v>PR:Music___SP:Barney20171021 $1139 </v>
      </c>
      <c r="H259" s="14" t="str">
        <f aca="false">SUBSTITUTE(G259,"_"," ")</f>
        <v>PR:Music   SP:Barney20171021 $1139 </v>
      </c>
      <c r="I259" s="14" t="str">
        <f aca="false">TRIM(H259)</f>
        <v>PR:Music SP:Barney20171021 $1139</v>
      </c>
      <c r="J259" s="21" t="n">
        <f aca="false">LEN(I259)</f>
        <v>32</v>
      </c>
      <c r="K259" s="21" t="n">
        <f aca="false">CODE(RIGHT(I259,1))</f>
        <v>57</v>
      </c>
      <c r="L259" s="14" t="str">
        <f aca="false">SUBSTITUTE(I259,"PR:","")</f>
        <v>Music SP:Barney20171021 $1139</v>
      </c>
      <c r="M259" s="14" t="str">
        <f aca="false">SUBSTITUTE(L259,"SP:","")</f>
        <v>Music Barney20171021 $1139</v>
      </c>
      <c r="N259" s="15" t="str">
        <f aca="false">SUBSTITUTE(M259,"201710"," 201710")</f>
        <v>Music Barney 20171021 $1139</v>
      </c>
      <c r="O259" s="21" t="n">
        <f aca="false">FIND(" ",N259)</f>
        <v>6</v>
      </c>
      <c r="P259" s="21" t="n">
        <f aca="false">FIND(" ",N259,O259+1)</f>
        <v>13</v>
      </c>
      <c r="Q259" s="21" t="n">
        <f aca="false">FIND(" ",N259,P259+1)</f>
        <v>22</v>
      </c>
      <c r="R259" s="26" t="str">
        <f aca="false">LEFT(N259,O259-1)</f>
        <v>Music</v>
      </c>
      <c r="S259" s="26" t="str">
        <f aca="false">MID(N259,O259+1,P259-O259-1)</f>
        <v>Barney</v>
      </c>
      <c r="T259" s="26" t="str">
        <f aca="false">MID(N259,P259+1,Q259-P259-1)</f>
        <v>20171021</v>
      </c>
      <c r="U259" s="26" t="n">
        <f aca="false">VALUE(MID(N259,Q259+2,90))</f>
        <v>1139</v>
      </c>
      <c r="V259" s="27" t="n">
        <f aca="false">DATE(2017,10,MID(T259,7,2))</f>
        <v>43029</v>
      </c>
    </row>
    <row r="260" customFormat="false" ht="14.25" hidden="false" customHeight="false" outlineLevel="0" collapsed="false">
      <c r="A260" s="23" t="n">
        <f aca="false">A259+1</f>
        <v>256</v>
      </c>
      <c r="B260" s="14" t="s">
        <v>274</v>
      </c>
      <c r="C260" s="21" t="n">
        <f aca="false">CODE(RIGHT(B260,1))</f>
        <v>28</v>
      </c>
      <c r="D260" s="14" t="str">
        <f aca="false">CLEAN(B260)</f>
        <v>/////PR:Games__SP:Barney20171029   $0     </v>
      </c>
      <c r="E260" s="21" t="n">
        <f aca="false">CODE(RIGHT(D260,1))</f>
        <v>32</v>
      </c>
      <c r="F260" s="14" t="str">
        <f aca="false">SUBSTITUTE(D260,_xlfn.UNICHAR(160)," ")</f>
        <v>/////PR:Games__SP:Barney20171029   $0     </v>
      </c>
      <c r="G260" s="14" t="str">
        <f aca="false">SUBSTITUTE(F260,"/","")</f>
        <v>PR:Games__SP:Barney20171029   $0     </v>
      </c>
      <c r="H260" s="14" t="str">
        <f aca="false">SUBSTITUTE(G260,"_"," ")</f>
        <v>PR:Games  SP:Barney20171029   $0     </v>
      </c>
      <c r="I260" s="14" t="str">
        <f aca="false">TRIM(H260)</f>
        <v>PR:Games SP:Barney20171029 $0</v>
      </c>
      <c r="J260" s="21" t="n">
        <f aca="false">LEN(I260)</f>
        <v>29</v>
      </c>
      <c r="K260" s="21" t="n">
        <f aca="false">CODE(RIGHT(I260,1))</f>
        <v>48</v>
      </c>
      <c r="L260" s="14" t="str">
        <f aca="false">SUBSTITUTE(I260,"PR:","")</f>
        <v>Games SP:Barney20171029 $0</v>
      </c>
      <c r="M260" s="14" t="str">
        <f aca="false">SUBSTITUTE(L260,"SP:","")</f>
        <v>Games Barney20171029 $0</v>
      </c>
      <c r="N260" s="15" t="str">
        <f aca="false">SUBSTITUTE(M260,"201710"," 201710")</f>
        <v>Games Barney 20171029 $0</v>
      </c>
      <c r="O260" s="21" t="n">
        <f aca="false">FIND(" ",N260)</f>
        <v>6</v>
      </c>
      <c r="P260" s="21" t="n">
        <f aca="false">FIND(" ",N260,O260+1)</f>
        <v>13</v>
      </c>
      <c r="Q260" s="21" t="n">
        <f aca="false">FIND(" ",N260,P260+1)</f>
        <v>22</v>
      </c>
      <c r="R260" s="26" t="str">
        <f aca="false">LEFT(N260,O260-1)</f>
        <v>Games</v>
      </c>
      <c r="S260" s="26" t="str">
        <f aca="false">MID(N260,O260+1,P260-O260-1)</f>
        <v>Barney</v>
      </c>
      <c r="T260" s="26" t="str">
        <f aca="false">MID(N260,P260+1,Q260-P260-1)</f>
        <v>20171029</v>
      </c>
      <c r="U260" s="26" t="n">
        <f aca="false">VALUE(MID(N260,Q260+2,90))</f>
        <v>0</v>
      </c>
      <c r="V260" s="27" t="n">
        <f aca="false">DATE(2017,10,MID(T260,7,2))</f>
        <v>43037</v>
      </c>
    </row>
    <row r="261" customFormat="false" ht="14.25" hidden="false" customHeight="false" outlineLevel="0" collapsed="false">
      <c r="A261" s="23" t="n">
        <f aca="false">A260+1</f>
        <v>257</v>
      </c>
      <c r="B261" s="14" t="s">
        <v>275</v>
      </c>
      <c r="C261" s="21" t="n">
        <f aca="false">CODE(RIGHT(B261,1))</f>
        <v>29</v>
      </c>
      <c r="D261" s="14" t="str">
        <f aca="false">CLEAN(B261)</f>
        <v>//PR:Music_SP:Carol20171026     $0    </v>
      </c>
      <c r="E261" s="21" t="n">
        <f aca="false">CODE(RIGHT(D261,1))</f>
        <v>32</v>
      </c>
      <c r="F261" s="14" t="str">
        <f aca="false">SUBSTITUTE(D261,_xlfn.UNICHAR(160)," ")</f>
        <v>//PR:Music_SP:Carol20171026     $0    </v>
      </c>
      <c r="G261" s="14" t="str">
        <f aca="false">SUBSTITUTE(F261,"/","")</f>
        <v>PR:Music_SP:Carol20171026     $0    </v>
      </c>
      <c r="H261" s="14" t="str">
        <f aca="false">SUBSTITUTE(G261,"_"," ")</f>
        <v>PR:Music SP:Carol20171026     $0    </v>
      </c>
      <c r="I261" s="14" t="str">
        <f aca="false">TRIM(H261)</f>
        <v>PR:Music SP:Carol20171026 $0</v>
      </c>
      <c r="J261" s="21" t="n">
        <f aca="false">LEN(I261)</f>
        <v>28</v>
      </c>
      <c r="K261" s="21" t="n">
        <f aca="false">CODE(RIGHT(I261,1))</f>
        <v>48</v>
      </c>
      <c r="L261" s="14" t="str">
        <f aca="false">SUBSTITUTE(I261,"PR:","")</f>
        <v>Music SP:Carol20171026 $0</v>
      </c>
      <c r="M261" s="14" t="str">
        <f aca="false">SUBSTITUTE(L261,"SP:","")</f>
        <v>Music Carol20171026 $0</v>
      </c>
      <c r="N261" s="15" t="str">
        <f aca="false">SUBSTITUTE(M261,"201710"," 201710")</f>
        <v>Music Carol 20171026 $0</v>
      </c>
      <c r="O261" s="21" t="n">
        <f aca="false">FIND(" ",N261)</f>
        <v>6</v>
      </c>
      <c r="P261" s="21" t="n">
        <f aca="false">FIND(" ",N261,O261+1)</f>
        <v>12</v>
      </c>
      <c r="Q261" s="21" t="n">
        <f aca="false">FIND(" ",N261,P261+1)</f>
        <v>21</v>
      </c>
      <c r="R261" s="26" t="str">
        <f aca="false">LEFT(N261,O261-1)</f>
        <v>Music</v>
      </c>
      <c r="S261" s="26" t="str">
        <f aca="false">MID(N261,O261+1,P261-O261-1)</f>
        <v>Carol</v>
      </c>
      <c r="T261" s="26" t="str">
        <f aca="false">MID(N261,P261+1,Q261-P261-1)</f>
        <v>20171026</v>
      </c>
      <c r="U261" s="26" t="n">
        <f aca="false">VALUE(MID(N261,Q261+2,90))</f>
        <v>0</v>
      </c>
      <c r="V261" s="27" t="n">
        <f aca="false">DATE(2017,10,MID(T261,7,2))</f>
        <v>43034</v>
      </c>
    </row>
    <row r="262" customFormat="false" ht="14.25" hidden="false" customHeight="false" outlineLevel="0" collapsed="false">
      <c r="A262" s="23" t="n">
        <f aca="false">A261+1</f>
        <v>258</v>
      </c>
      <c r="B262" s="14" t="s">
        <v>276</v>
      </c>
      <c r="C262" s="21" t="n">
        <f aca="false">CODE(RIGHT(B262,1))</f>
        <v>31</v>
      </c>
      <c r="D262" s="14" t="str">
        <f aca="false">CLEAN(B262)</f>
        <v>////PR:Books____SP:Barney20171013 $922    </v>
      </c>
      <c r="E262" s="21" t="n">
        <f aca="false">CODE(RIGHT(D262,1))</f>
        <v>32</v>
      </c>
      <c r="F262" s="14" t="str">
        <f aca="false">SUBSTITUTE(D262,_xlfn.UNICHAR(160)," ")</f>
        <v>////PR:Books____SP:Barney20171013 $922    </v>
      </c>
      <c r="G262" s="14" t="str">
        <f aca="false">SUBSTITUTE(F262,"/","")</f>
        <v>PR:Books____SP:Barney20171013 $922    </v>
      </c>
      <c r="H262" s="14" t="str">
        <f aca="false">SUBSTITUTE(G262,"_"," ")</f>
        <v>PR:Books    SP:Barney20171013 $922    </v>
      </c>
      <c r="I262" s="14" t="str">
        <f aca="false">TRIM(H262)</f>
        <v>PR:Books SP:Barney20171013 $922</v>
      </c>
      <c r="J262" s="21" t="n">
        <f aca="false">LEN(I262)</f>
        <v>31</v>
      </c>
      <c r="K262" s="21" t="n">
        <f aca="false">CODE(RIGHT(I262,1))</f>
        <v>50</v>
      </c>
      <c r="L262" s="14" t="str">
        <f aca="false">SUBSTITUTE(I262,"PR:","")</f>
        <v>Books SP:Barney20171013 $922</v>
      </c>
      <c r="M262" s="14" t="str">
        <f aca="false">SUBSTITUTE(L262,"SP:","")</f>
        <v>Books Barney20171013 $922</v>
      </c>
      <c r="N262" s="15" t="str">
        <f aca="false">SUBSTITUTE(M262,"201710"," 201710")</f>
        <v>Books Barney 20171013 $922</v>
      </c>
      <c r="O262" s="21" t="n">
        <f aca="false">FIND(" ",N262)</f>
        <v>6</v>
      </c>
      <c r="P262" s="21" t="n">
        <f aca="false">FIND(" ",N262,O262+1)</f>
        <v>13</v>
      </c>
      <c r="Q262" s="21" t="n">
        <f aca="false">FIND(" ",N262,P262+1)</f>
        <v>22</v>
      </c>
      <c r="R262" s="26" t="str">
        <f aca="false">LEFT(N262,O262-1)</f>
        <v>Books</v>
      </c>
      <c r="S262" s="26" t="str">
        <f aca="false">MID(N262,O262+1,P262-O262-1)</f>
        <v>Barney</v>
      </c>
      <c r="T262" s="26" t="str">
        <f aca="false">MID(N262,P262+1,Q262-P262-1)</f>
        <v>20171013</v>
      </c>
      <c r="U262" s="26" t="n">
        <f aca="false">VALUE(MID(N262,Q262+2,90))</f>
        <v>922</v>
      </c>
      <c r="V262" s="27" t="n">
        <f aca="false">DATE(2017,10,MID(T262,7,2))</f>
        <v>43021</v>
      </c>
    </row>
    <row r="263" customFormat="false" ht="14.25" hidden="false" customHeight="false" outlineLevel="0" collapsed="false">
      <c r="A263" s="23" t="n">
        <f aca="false">A262+1</f>
        <v>259</v>
      </c>
      <c r="B263" s="14" t="s">
        <v>277</v>
      </c>
      <c r="C263" s="21" t="n">
        <f aca="false">CODE(RIGHT(B263,1))</f>
        <v>31</v>
      </c>
      <c r="D263" s="14" t="str">
        <f aca="false">CLEAN(B263)</f>
        <v>/////PR:Books____SP:Alice20171029  $933   </v>
      </c>
      <c r="E263" s="21" t="n">
        <f aca="false">CODE(RIGHT(D263,1))</f>
        <v>32</v>
      </c>
      <c r="F263" s="14" t="str">
        <f aca="false">SUBSTITUTE(D263,_xlfn.UNICHAR(160)," ")</f>
        <v>/////PR:Books____SP:Alice20171029  $933   </v>
      </c>
      <c r="G263" s="14" t="str">
        <f aca="false">SUBSTITUTE(F263,"/","")</f>
        <v>PR:Books____SP:Alice20171029  $933   </v>
      </c>
      <c r="H263" s="14" t="str">
        <f aca="false">SUBSTITUTE(G263,"_"," ")</f>
        <v>PR:Books    SP:Alice20171029  $933   </v>
      </c>
      <c r="I263" s="14" t="str">
        <f aca="false">TRIM(H263)</f>
        <v>PR:Books SP:Alice20171029 $933</v>
      </c>
      <c r="J263" s="21" t="n">
        <f aca="false">LEN(I263)</f>
        <v>30</v>
      </c>
      <c r="K263" s="21" t="n">
        <f aca="false">CODE(RIGHT(I263,1))</f>
        <v>51</v>
      </c>
      <c r="L263" s="14" t="str">
        <f aca="false">SUBSTITUTE(I263,"PR:","")</f>
        <v>Books SP:Alice20171029 $933</v>
      </c>
      <c r="M263" s="14" t="str">
        <f aca="false">SUBSTITUTE(L263,"SP:","")</f>
        <v>Books Alice20171029 $933</v>
      </c>
      <c r="N263" s="15" t="str">
        <f aca="false">SUBSTITUTE(M263,"201710"," 201710")</f>
        <v>Books Alice 20171029 $933</v>
      </c>
      <c r="O263" s="21" t="n">
        <f aca="false">FIND(" ",N263)</f>
        <v>6</v>
      </c>
      <c r="P263" s="21" t="n">
        <f aca="false">FIND(" ",N263,O263+1)</f>
        <v>12</v>
      </c>
      <c r="Q263" s="21" t="n">
        <f aca="false">FIND(" ",N263,P263+1)</f>
        <v>21</v>
      </c>
      <c r="R263" s="26" t="str">
        <f aca="false">LEFT(N263,O263-1)</f>
        <v>Books</v>
      </c>
      <c r="S263" s="26" t="str">
        <f aca="false">MID(N263,O263+1,P263-O263-1)</f>
        <v>Alice</v>
      </c>
      <c r="T263" s="26" t="str">
        <f aca="false">MID(N263,P263+1,Q263-P263-1)</f>
        <v>20171029</v>
      </c>
      <c r="U263" s="26" t="n">
        <f aca="false">VALUE(MID(N263,Q263+2,90))</f>
        <v>933</v>
      </c>
      <c r="V263" s="27" t="n">
        <f aca="false">DATE(2017,10,MID(T263,7,2))</f>
        <v>43037</v>
      </c>
    </row>
    <row r="264" customFormat="false" ht="14.25" hidden="false" customHeight="false" outlineLevel="0" collapsed="false">
      <c r="A264" s="23" t="n">
        <f aca="false">A263+1</f>
        <v>260</v>
      </c>
      <c r="B264" s="14" t="s">
        <v>278</v>
      </c>
      <c r="C264" s="21" t="n">
        <f aca="false">CODE(RIGHT(B264,1))</f>
        <v>29</v>
      </c>
      <c r="D264" s="14" t="str">
        <f aca="false">CLEAN(B264)</f>
        <v>///PR:Music____SP:Carol2017101   $902 </v>
      </c>
      <c r="E264" s="21" t="n">
        <f aca="false">CODE(RIGHT(D264,1))</f>
        <v>32</v>
      </c>
      <c r="F264" s="14" t="str">
        <f aca="false">SUBSTITUTE(D264,_xlfn.UNICHAR(160)," ")</f>
        <v>///PR:Music____SP:Carol2017101   $902 </v>
      </c>
      <c r="G264" s="14" t="str">
        <f aca="false">SUBSTITUTE(F264,"/","")</f>
        <v>PR:Music____SP:Carol2017101   $902 </v>
      </c>
      <c r="H264" s="14" t="str">
        <f aca="false">SUBSTITUTE(G264,"_"," ")</f>
        <v>PR:Music    SP:Carol2017101   $902 </v>
      </c>
      <c r="I264" s="14" t="str">
        <f aca="false">TRIM(H264)</f>
        <v>PR:Music SP:Carol2017101 $902</v>
      </c>
      <c r="J264" s="21" t="n">
        <f aca="false">LEN(I264)</f>
        <v>29</v>
      </c>
      <c r="K264" s="21" t="n">
        <f aca="false">CODE(RIGHT(I264,1))</f>
        <v>50</v>
      </c>
      <c r="L264" s="14" t="str">
        <f aca="false">SUBSTITUTE(I264,"PR:","")</f>
        <v>Music SP:Carol2017101 $902</v>
      </c>
      <c r="M264" s="14" t="str">
        <f aca="false">SUBSTITUTE(L264,"SP:","")</f>
        <v>Music Carol2017101 $902</v>
      </c>
      <c r="N264" s="15" t="str">
        <f aca="false">SUBSTITUTE(M264,"201710"," 201710")</f>
        <v>Music Carol 2017101 $902</v>
      </c>
      <c r="O264" s="21" t="n">
        <f aca="false">FIND(" ",N264)</f>
        <v>6</v>
      </c>
      <c r="P264" s="21" t="n">
        <f aca="false">FIND(" ",N264,O264+1)</f>
        <v>12</v>
      </c>
      <c r="Q264" s="21" t="n">
        <f aca="false">FIND(" ",N264,P264+1)</f>
        <v>20</v>
      </c>
      <c r="R264" s="26" t="str">
        <f aca="false">LEFT(N264,O264-1)</f>
        <v>Music</v>
      </c>
      <c r="S264" s="26" t="str">
        <f aca="false">MID(N264,O264+1,P264-O264-1)</f>
        <v>Carol</v>
      </c>
      <c r="T264" s="26" t="str">
        <f aca="false">MID(N264,P264+1,Q264-P264-1)</f>
        <v>2017101</v>
      </c>
      <c r="U264" s="26" t="n">
        <f aca="false">VALUE(MID(N264,Q264+2,90))</f>
        <v>902</v>
      </c>
      <c r="V264" s="27" t="n">
        <f aca="false">DATE(2017,10,MID(T264,7,2))</f>
        <v>43009</v>
      </c>
    </row>
    <row r="265" customFormat="false" ht="14.25" hidden="false" customHeight="false" outlineLevel="0" collapsed="false">
      <c r="A265" s="23" t="n">
        <f aca="false">A264+1</f>
        <v>261</v>
      </c>
      <c r="B265" s="14" t="s">
        <v>279</v>
      </c>
      <c r="C265" s="21" t="n">
        <f aca="false">CODE(RIGHT(B265,1))</f>
        <v>28</v>
      </c>
      <c r="D265" s="14" t="str">
        <f aca="false">CLEAN(B265)</f>
        <v>//PR:Books___SP:Barney2017102  $885 </v>
      </c>
      <c r="E265" s="21" t="n">
        <f aca="false">CODE(RIGHT(D265,1))</f>
        <v>32</v>
      </c>
      <c r="F265" s="14" t="str">
        <f aca="false">SUBSTITUTE(D265,_xlfn.UNICHAR(160)," ")</f>
        <v>//PR:Books___SP:Barney2017102  $885 </v>
      </c>
      <c r="G265" s="14" t="str">
        <f aca="false">SUBSTITUTE(F265,"/","")</f>
        <v>PR:Books___SP:Barney2017102  $885 </v>
      </c>
      <c r="H265" s="14" t="str">
        <f aca="false">SUBSTITUTE(G265,"_"," ")</f>
        <v>PR:Books   SP:Barney2017102  $885 </v>
      </c>
      <c r="I265" s="14" t="str">
        <f aca="false">TRIM(H265)</f>
        <v>PR:Books SP:Barney2017102 $885</v>
      </c>
      <c r="J265" s="21" t="n">
        <f aca="false">LEN(I265)</f>
        <v>30</v>
      </c>
      <c r="K265" s="21" t="n">
        <f aca="false">CODE(RIGHT(I265,1))</f>
        <v>53</v>
      </c>
      <c r="L265" s="14" t="str">
        <f aca="false">SUBSTITUTE(I265,"PR:","")</f>
        <v>Books SP:Barney2017102 $885</v>
      </c>
      <c r="M265" s="14" t="str">
        <f aca="false">SUBSTITUTE(L265,"SP:","")</f>
        <v>Books Barney2017102 $885</v>
      </c>
      <c r="N265" s="15" t="str">
        <f aca="false">SUBSTITUTE(M265,"201710"," 201710")</f>
        <v>Books Barney 2017102 $885</v>
      </c>
      <c r="O265" s="21" t="n">
        <f aca="false">FIND(" ",N265)</f>
        <v>6</v>
      </c>
      <c r="P265" s="21" t="n">
        <f aca="false">FIND(" ",N265,O265+1)</f>
        <v>13</v>
      </c>
      <c r="Q265" s="21" t="n">
        <f aca="false">FIND(" ",N265,P265+1)</f>
        <v>21</v>
      </c>
      <c r="R265" s="26" t="str">
        <f aca="false">LEFT(N265,O265-1)</f>
        <v>Books</v>
      </c>
      <c r="S265" s="26" t="str">
        <f aca="false">MID(N265,O265+1,P265-O265-1)</f>
        <v>Barney</v>
      </c>
      <c r="T265" s="26" t="str">
        <f aca="false">MID(N265,P265+1,Q265-P265-1)</f>
        <v>2017102</v>
      </c>
      <c r="U265" s="26" t="n">
        <f aca="false">VALUE(MID(N265,Q265+2,90))</f>
        <v>885</v>
      </c>
      <c r="V265" s="27" t="n">
        <f aca="false">DATE(2017,10,MID(T265,7,2))</f>
        <v>43010</v>
      </c>
    </row>
    <row r="266" customFormat="false" ht="14.25" hidden="false" customHeight="false" outlineLevel="0" collapsed="false">
      <c r="A266" s="23" t="n">
        <f aca="false">A265+1</f>
        <v>262</v>
      </c>
      <c r="B266" s="14" t="s">
        <v>280</v>
      </c>
      <c r="C266" s="21" t="n">
        <f aca="false">CODE(RIGHT(B266,1))</f>
        <v>29</v>
      </c>
      <c r="D266" s="14" t="str">
        <f aca="false">CLEAN(B266)</f>
        <v>/////PR:Clothing___SP:Barney20171031     $0  </v>
      </c>
      <c r="E266" s="21" t="n">
        <f aca="false">CODE(RIGHT(D266,1))</f>
        <v>32</v>
      </c>
      <c r="F266" s="14" t="str">
        <f aca="false">SUBSTITUTE(D266,_xlfn.UNICHAR(160)," ")</f>
        <v>/////PR:Clothing___SP:Barney20171031     $0  </v>
      </c>
      <c r="G266" s="14" t="str">
        <f aca="false">SUBSTITUTE(F266,"/","")</f>
        <v>PR:Clothing___SP:Barney20171031     $0  </v>
      </c>
      <c r="H266" s="14" t="str">
        <f aca="false">SUBSTITUTE(G266,"_"," ")</f>
        <v>PR:Clothing   SP:Barney20171031     $0  </v>
      </c>
      <c r="I266" s="14" t="str">
        <f aca="false">TRIM(H266)</f>
        <v>PR:Clothing SP:Barney20171031 $0</v>
      </c>
      <c r="J266" s="21" t="n">
        <f aca="false">LEN(I266)</f>
        <v>32</v>
      </c>
      <c r="K266" s="21" t="n">
        <f aca="false">CODE(RIGHT(I266,1))</f>
        <v>48</v>
      </c>
      <c r="L266" s="14" t="str">
        <f aca="false">SUBSTITUTE(I266,"PR:","")</f>
        <v>Clothing SP:Barney20171031 $0</v>
      </c>
      <c r="M266" s="14" t="str">
        <f aca="false">SUBSTITUTE(L266,"SP:","")</f>
        <v>Clothing Barney20171031 $0</v>
      </c>
      <c r="N266" s="15" t="str">
        <f aca="false">SUBSTITUTE(M266,"201710"," 201710")</f>
        <v>Clothing Barney 20171031 $0</v>
      </c>
      <c r="O266" s="21" t="n">
        <f aca="false">FIND(" ",N266)</f>
        <v>9</v>
      </c>
      <c r="P266" s="21" t="n">
        <f aca="false">FIND(" ",N266,O266+1)</f>
        <v>16</v>
      </c>
      <c r="Q266" s="21" t="n">
        <f aca="false">FIND(" ",N266,P266+1)</f>
        <v>25</v>
      </c>
      <c r="R266" s="26" t="str">
        <f aca="false">LEFT(N266,O266-1)</f>
        <v>Clothing</v>
      </c>
      <c r="S266" s="26" t="str">
        <f aca="false">MID(N266,O266+1,P266-O266-1)</f>
        <v>Barney</v>
      </c>
      <c r="T266" s="26" t="str">
        <f aca="false">MID(N266,P266+1,Q266-P266-1)</f>
        <v>20171031</v>
      </c>
      <c r="U266" s="26" t="n">
        <f aca="false">VALUE(MID(N266,Q266+2,90))</f>
        <v>0</v>
      </c>
      <c r="V266" s="27" t="n">
        <f aca="false">DATE(2017,10,MID(T266,7,2))</f>
        <v>43039</v>
      </c>
    </row>
    <row r="267" customFormat="false" ht="14.25" hidden="false" customHeight="false" outlineLevel="0" collapsed="false">
      <c r="A267" s="23" t="n">
        <f aca="false">A266+1</f>
        <v>263</v>
      </c>
      <c r="B267" s="14" t="s">
        <v>281</v>
      </c>
      <c r="C267" s="21" t="n">
        <f aca="false">CODE(RIGHT(B267,1))</f>
        <v>31</v>
      </c>
      <c r="D267" s="14" t="str">
        <f aca="false">CLEAN(B267)</f>
        <v>/PR:Clothing___SP:Alice20171016  $0    </v>
      </c>
      <c r="E267" s="21" t="n">
        <f aca="false">CODE(RIGHT(D267,1))</f>
        <v>32</v>
      </c>
      <c r="F267" s="14" t="str">
        <f aca="false">SUBSTITUTE(D267,_xlfn.UNICHAR(160)," ")</f>
        <v>/PR:Clothing___SP:Alice20171016  $0    </v>
      </c>
      <c r="G267" s="14" t="str">
        <f aca="false">SUBSTITUTE(F267,"/","")</f>
        <v>PR:Clothing___SP:Alice20171016  $0    </v>
      </c>
      <c r="H267" s="14" t="str">
        <f aca="false">SUBSTITUTE(G267,"_"," ")</f>
        <v>PR:Clothing   SP:Alice20171016  $0    </v>
      </c>
      <c r="I267" s="14" t="str">
        <f aca="false">TRIM(H267)</f>
        <v>PR:Clothing SP:Alice20171016 $0</v>
      </c>
      <c r="J267" s="21" t="n">
        <f aca="false">LEN(I267)</f>
        <v>31</v>
      </c>
      <c r="K267" s="21" t="n">
        <f aca="false">CODE(RIGHT(I267,1))</f>
        <v>48</v>
      </c>
      <c r="L267" s="14" t="str">
        <f aca="false">SUBSTITUTE(I267,"PR:","")</f>
        <v>Clothing SP:Alice20171016 $0</v>
      </c>
      <c r="M267" s="14" t="str">
        <f aca="false">SUBSTITUTE(L267,"SP:","")</f>
        <v>Clothing Alice20171016 $0</v>
      </c>
      <c r="N267" s="15" t="str">
        <f aca="false">SUBSTITUTE(M267,"201710"," 201710")</f>
        <v>Clothing Alice 20171016 $0</v>
      </c>
      <c r="O267" s="21" t="n">
        <f aca="false">FIND(" ",N267)</f>
        <v>9</v>
      </c>
      <c r="P267" s="21" t="n">
        <f aca="false">FIND(" ",N267,O267+1)</f>
        <v>15</v>
      </c>
      <c r="Q267" s="21" t="n">
        <f aca="false">FIND(" ",N267,P267+1)</f>
        <v>24</v>
      </c>
      <c r="R267" s="26" t="str">
        <f aca="false">LEFT(N267,O267-1)</f>
        <v>Clothing</v>
      </c>
      <c r="S267" s="26" t="str">
        <f aca="false">MID(N267,O267+1,P267-O267-1)</f>
        <v>Alice</v>
      </c>
      <c r="T267" s="26" t="str">
        <f aca="false">MID(N267,P267+1,Q267-P267-1)</f>
        <v>20171016</v>
      </c>
      <c r="U267" s="26" t="n">
        <f aca="false">VALUE(MID(N267,Q267+2,90))</f>
        <v>0</v>
      </c>
      <c r="V267" s="27" t="n">
        <f aca="false">DATE(2017,10,MID(T267,7,2))</f>
        <v>43024</v>
      </c>
    </row>
    <row r="268" customFormat="false" ht="14.25" hidden="false" customHeight="false" outlineLevel="0" collapsed="false">
      <c r="A268" s="23" t="n">
        <f aca="false">A267+1</f>
        <v>264</v>
      </c>
      <c r="B268" s="14" t="s">
        <v>282</v>
      </c>
      <c r="C268" s="21" t="n">
        <f aca="false">CODE(RIGHT(B268,1))</f>
        <v>30</v>
      </c>
      <c r="D268" s="14" t="str">
        <f aca="false">CLEAN(B268)</f>
        <v>/////PR:Music___SP:David20171010 $1040 </v>
      </c>
      <c r="E268" s="21" t="n">
        <f aca="false">CODE(RIGHT(D268,1))</f>
        <v>32</v>
      </c>
      <c r="F268" s="14" t="str">
        <f aca="false">SUBSTITUTE(D268,_xlfn.UNICHAR(160)," ")</f>
        <v>/////PR:Music___SP:David20171010 $1040 </v>
      </c>
      <c r="G268" s="14" t="str">
        <f aca="false">SUBSTITUTE(F268,"/","")</f>
        <v>PR:Music___SP:David20171010 $1040 </v>
      </c>
      <c r="H268" s="14" t="str">
        <f aca="false">SUBSTITUTE(G268,"_"," ")</f>
        <v>PR:Music   SP:David20171010 $1040 </v>
      </c>
      <c r="I268" s="14" t="str">
        <f aca="false">TRIM(H268)</f>
        <v>PR:Music SP:David20171010 $1040</v>
      </c>
      <c r="J268" s="21" t="n">
        <f aca="false">LEN(I268)</f>
        <v>31</v>
      </c>
      <c r="K268" s="21" t="n">
        <f aca="false">CODE(RIGHT(I268,1))</f>
        <v>48</v>
      </c>
      <c r="L268" s="14" t="str">
        <f aca="false">SUBSTITUTE(I268,"PR:","")</f>
        <v>Music SP:David20171010 $1040</v>
      </c>
      <c r="M268" s="14" t="str">
        <f aca="false">SUBSTITUTE(L268,"SP:","")</f>
        <v>Music David20171010 $1040</v>
      </c>
      <c r="N268" s="15" t="str">
        <f aca="false">SUBSTITUTE(M268,"201710"," 201710")</f>
        <v>Music David 20171010 $1040</v>
      </c>
      <c r="O268" s="21" t="n">
        <f aca="false">FIND(" ",N268)</f>
        <v>6</v>
      </c>
      <c r="P268" s="21" t="n">
        <f aca="false">FIND(" ",N268,O268+1)</f>
        <v>12</v>
      </c>
      <c r="Q268" s="21" t="n">
        <f aca="false">FIND(" ",N268,P268+1)</f>
        <v>21</v>
      </c>
      <c r="R268" s="26" t="str">
        <f aca="false">LEFT(N268,O268-1)</f>
        <v>Music</v>
      </c>
      <c r="S268" s="26" t="str">
        <f aca="false">MID(N268,O268+1,P268-O268-1)</f>
        <v>David</v>
      </c>
      <c r="T268" s="26" t="str">
        <f aca="false">MID(N268,P268+1,Q268-P268-1)</f>
        <v>20171010</v>
      </c>
      <c r="U268" s="26" t="n">
        <f aca="false">VALUE(MID(N268,Q268+2,90))</f>
        <v>1040</v>
      </c>
      <c r="V268" s="27" t="n">
        <f aca="false">DATE(2017,10,MID(T268,7,2))</f>
        <v>43018</v>
      </c>
    </row>
    <row r="269" customFormat="false" ht="14.25" hidden="false" customHeight="false" outlineLevel="0" collapsed="false">
      <c r="A269" s="23" t="n">
        <f aca="false">A268+1</f>
        <v>265</v>
      </c>
      <c r="B269" s="14" t="s">
        <v>283</v>
      </c>
      <c r="C269" s="21" t="n">
        <f aca="false">CODE(RIGHT(B269,1))</f>
        <v>29</v>
      </c>
      <c r="D269" s="14" t="str">
        <f aca="false">CLEAN(B269)</f>
        <v>////PR:Clothing_____SP:Carol20171031  $0    </v>
      </c>
      <c r="E269" s="21" t="n">
        <f aca="false">CODE(RIGHT(D269,1))</f>
        <v>32</v>
      </c>
      <c r="F269" s="14" t="str">
        <f aca="false">SUBSTITUTE(D269,_xlfn.UNICHAR(160)," ")</f>
        <v>////PR:Clothing_____SP:Carol20171031  $0    </v>
      </c>
      <c r="G269" s="14" t="str">
        <f aca="false">SUBSTITUTE(F269,"/","")</f>
        <v>PR:Clothing_____SP:Carol20171031  $0    </v>
      </c>
      <c r="H269" s="14" t="str">
        <f aca="false">SUBSTITUTE(G269,"_"," ")</f>
        <v>PR:Clothing     SP:Carol20171031  $0    </v>
      </c>
      <c r="I269" s="14" t="str">
        <f aca="false">TRIM(H269)</f>
        <v>PR:Clothing SP:Carol20171031 $0</v>
      </c>
      <c r="J269" s="21" t="n">
        <f aca="false">LEN(I269)</f>
        <v>31</v>
      </c>
      <c r="K269" s="21" t="n">
        <f aca="false">CODE(RIGHT(I269,1))</f>
        <v>48</v>
      </c>
      <c r="L269" s="14" t="str">
        <f aca="false">SUBSTITUTE(I269,"PR:","")</f>
        <v>Clothing SP:Carol20171031 $0</v>
      </c>
      <c r="M269" s="14" t="str">
        <f aca="false">SUBSTITUTE(L269,"SP:","")</f>
        <v>Clothing Carol20171031 $0</v>
      </c>
      <c r="N269" s="15" t="str">
        <f aca="false">SUBSTITUTE(M269,"201710"," 201710")</f>
        <v>Clothing Carol 20171031 $0</v>
      </c>
      <c r="O269" s="21" t="n">
        <f aca="false">FIND(" ",N269)</f>
        <v>9</v>
      </c>
      <c r="P269" s="21" t="n">
        <f aca="false">FIND(" ",N269,O269+1)</f>
        <v>15</v>
      </c>
      <c r="Q269" s="21" t="n">
        <f aca="false">FIND(" ",N269,P269+1)</f>
        <v>24</v>
      </c>
      <c r="R269" s="26" t="str">
        <f aca="false">LEFT(N269,O269-1)</f>
        <v>Clothing</v>
      </c>
      <c r="S269" s="26" t="str">
        <f aca="false">MID(N269,O269+1,P269-O269-1)</f>
        <v>Carol</v>
      </c>
      <c r="T269" s="26" t="str">
        <f aca="false">MID(N269,P269+1,Q269-P269-1)</f>
        <v>20171031</v>
      </c>
      <c r="U269" s="26" t="n">
        <f aca="false">VALUE(MID(N269,Q269+2,90))</f>
        <v>0</v>
      </c>
      <c r="V269" s="27" t="n">
        <f aca="false">DATE(2017,10,MID(T269,7,2))</f>
        <v>43039</v>
      </c>
    </row>
    <row r="270" customFormat="false" ht="14.25" hidden="false" customHeight="false" outlineLevel="0" collapsed="false">
      <c r="A270" s="23" t="n">
        <f aca="false">A269+1</f>
        <v>266</v>
      </c>
      <c r="B270" s="14" t="s">
        <v>284</v>
      </c>
      <c r="C270" s="21" t="n">
        <f aca="false">CODE(RIGHT(B270,1))</f>
        <v>29</v>
      </c>
      <c r="D270" s="14" t="str">
        <f aca="false">CLEAN(B270)</f>
        <v>////PR:Games_____SP:Carol2017105 $2347     </v>
      </c>
      <c r="E270" s="21" t="n">
        <f aca="false">CODE(RIGHT(D270,1))</f>
        <v>32</v>
      </c>
      <c r="F270" s="14" t="str">
        <f aca="false">SUBSTITUTE(D270,_xlfn.UNICHAR(160)," ")</f>
        <v>////PR:Games_____SP:Carol2017105 $2347     </v>
      </c>
      <c r="G270" s="14" t="str">
        <f aca="false">SUBSTITUTE(F270,"/","")</f>
        <v>PR:Games_____SP:Carol2017105 $2347     </v>
      </c>
      <c r="H270" s="14" t="str">
        <f aca="false">SUBSTITUTE(G270,"_"," ")</f>
        <v>PR:Games     SP:Carol2017105 $2347     </v>
      </c>
      <c r="I270" s="14" t="str">
        <f aca="false">TRIM(H270)</f>
        <v>PR:Games SP:Carol2017105 $2347</v>
      </c>
      <c r="J270" s="21" t="n">
        <f aca="false">LEN(I270)</f>
        <v>30</v>
      </c>
      <c r="K270" s="21" t="n">
        <f aca="false">CODE(RIGHT(I270,1))</f>
        <v>55</v>
      </c>
      <c r="L270" s="14" t="str">
        <f aca="false">SUBSTITUTE(I270,"PR:","")</f>
        <v>Games SP:Carol2017105 $2347</v>
      </c>
      <c r="M270" s="14" t="str">
        <f aca="false">SUBSTITUTE(L270,"SP:","")</f>
        <v>Games Carol2017105 $2347</v>
      </c>
      <c r="N270" s="15" t="str">
        <f aca="false">SUBSTITUTE(M270,"201710"," 201710")</f>
        <v>Games Carol 2017105 $2347</v>
      </c>
      <c r="O270" s="21" t="n">
        <f aca="false">FIND(" ",N270)</f>
        <v>6</v>
      </c>
      <c r="P270" s="21" t="n">
        <f aca="false">FIND(" ",N270,O270+1)</f>
        <v>12</v>
      </c>
      <c r="Q270" s="21" t="n">
        <f aca="false">FIND(" ",N270,P270+1)</f>
        <v>20</v>
      </c>
      <c r="R270" s="26" t="str">
        <f aca="false">LEFT(N270,O270-1)</f>
        <v>Games</v>
      </c>
      <c r="S270" s="26" t="str">
        <f aca="false">MID(N270,O270+1,P270-O270-1)</f>
        <v>Carol</v>
      </c>
      <c r="T270" s="26" t="str">
        <f aca="false">MID(N270,P270+1,Q270-P270-1)</f>
        <v>2017105</v>
      </c>
      <c r="U270" s="26" t="n">
        <f aca="false">VALUE(MID(N270,Q270+2,90))</f>
        <v>2347</v>
      </c>
      <c r="V270" s="27" t="n">
        <f aca="false">DATE(2017,10,MID(T270,7,2))</f>
        <v>43013</v>
      </c>
    </row>
    <row r="271" customFormat="false" ht="14.25" hidden="false" customHeight="false" outlineLevel="0" collapsed="false">
      <c r="A271" s="23" t="n">
        <f aca="false">A270+1</f>
        <v>267</v>
      </c>
      <c r="B271" s="14" t="s">
        <v>285</v>
      </c>
      <c r="C271" s="21" t="n">
        <f aca="false">CODE(RIGHT(B271,1))</f>
        <v>29</v>
      </c>
      <c r="D271" s="14" t="str">
        <f aca="false">CLEAN(B271)</f>
        <v>/////PR:Games_____SP:Alice20171019  $1388   </v>
      </c>
      <c r="E271" s="21" t="n">
        <f aca="false">CODE(RIGHT(D271,1))</f>
        <v>32</v>
      </c>
      <c r="F271" s="14" t="str">
        <f aca="false">SUBSTITUTE(D271,_xlfn.UNICHAR(160)," ")</f>
        <v>/////PR:Games_____SP:Alice20171019  $1388   </v>
      </c>
      <c r="G271" s="14" t="str">
        <f aca="false">SUBSTITUTE(F271,"/","")</f>
        <v>PR:Games_____SP:Alice20171019  $1388   </v>
      </c>
      <c r="H271" s="14" t="str">
        <f aca="false">SUBSTITUTE(G271,"_"," ")</f>
        <v>PR:Games     SP:Alice20171019  $1388   </v>
      </c>
      <c r="I271" s="14" t="str">
        <f aca="false">TRIM(H271)</f>
        <v>PR:Games SP:Alice20171019 $1388</v>
      </c>
      <c r="J271" s="21" t="n">
        <f aca="false">LEN(I271)</f>
        <v>31</v>
      </c>
      <c r="K271" s="21" t="n">
        <f aca="false">CODE(RIGHT(I271,1))</f>
        <v>56</v>
      </c>
      <c r="L271" s="14" t="str">
        <f aca="false">SUBSTITUTE(I271,"PR:","")</f>
        <v>Games SP:Alice20171019 $1388</v>
      </c>
      <c r="M271" s="14" t="str">
        <f aca="false">SUBSTITUTE(L271,"SP:","")</f>
        <v>Games Alice20171019 $1388</v>
      </c>
      <c r="N271" s="15" t="str">
        <f aca="false">SUBSTITUTE(M271,"201710"," 201710")</f>
        <v>Games Alice 20171019 $1388</v>
      </c>
      <c r="O271" s="21" t="n">
        <f aca="false">FIND(" ",N271)</f>
        <v>6</v>
      </c>
      <c r="P271" s="21" t="n">
        <f aca="false">FIND(" ",N271,O271+1)</f>
        <v>12</v>
      </c>
      <c r="Q271" s="21" t="n">
        <f aca="false">FIND(" ",N271,P271+1)</f>
        <v>21</v>
      </c>
      <c r="R271" s="26" t="str">
        <f aca="false">LEFT(N271,O271-1)</f>
        <v>Games</v>
      </c>
      <c r="S271" s="26" t="str">
        <f aca="false">MID(N271,O271+1,P271-O271-1)</f>
        <v>Alice</v>
      </c>
      <c r="T271" s="26" t="str">
        <f aca="false">MID(N271,P271+1,Q271-P271-1)</f>
        <v>20171019</v>
      </c>
      <c r="U271" s="26" t="n">
        <f aca="false">VALUE(MID(N271,Q271+2,90))</f>
        <v>1388</v>
      </c>
      <c r="V271" s="27" t="n">
        <f aca="false">DATE(2017,10,MID(T271,7,2))</f>
        <v>43027</v>
      </c>
    </row>
    <row r="272" customFormat="false" ht="14.25" hidden="false" customHeight="false" outlineLevel="0" collapsed="false">
      <c r="A272" s="23" t="n">
        <f aca="false">A271+1</f>
        <v>268</v>
      </c>
      <c r="B272" s="14" t="s">
        <v>286</v>
      </c>
      <c r="C272" s="21" t="n">
        <f aca="false">CODE(RIGHT(B272,1))</f>
        <v>31</v>
      </c>
      <c r="D272" s="14" t="str">
        <f aca="false">CLEAN(B272)</f>
        <v>/PR:Clothing____SP:David2017102 $0   </v>
      </c>
      <c r="E272" s="21" t="n">
        <f aca="false">CODE(RIGHT(D272,1))</f>
        <v>32</v>
      </c>
      <c r="F272" s="14" t="str">
        <f aca="false">SUBSTITUTE(D272,_xlfn.UNICHAR(160)," ")</f>
        <v>/PR:Clothing____SP:David2017102 $0   </v>
      </c>
      <c r="G272" s="14" t="str">
        <f aca="false">SUBSTITUTE(F272,"/","")</f>
        <v>PR:Clothing____SP:David2017102 $0   </v>
      </c>
      <c r="H272" s="14" t="str">
        <f aca="false">SUBSTITUTE(G272,"_"," ")</f>
        <v>PR:Clothing    SP:David2017102 $0   </v>
      </c>
      <c r="I272" s="14" t="str">
        <f aca="false">TRIM(H272)</f>
        <v>PR:Clothing SP:David2017102 $0</v>
      </c>
      <c r="J272" s="21" t="n">
        <f aca="false">LEN(I272)</f>
        <v>30</v>
      </c>
      <c r="K272" s="21" t="n">
        <f aca="false">CODE(RIGHT(I272,1))</f>
        <v>48</v>
      </c>
      <c r="L272" s="14" t="str">
        <f aca="false">SUBSTITUTE(I272,"PR:","")</f>
        <v>Clothing SP:David2017102 $0</v>
      </c>
      <c r="M272" s="14" t="str">
        <f aca="false">SUBSTITUTE(L272,"SP:","")</f>
        <v>Clothing David2017102 $0</v>
      </c>
      <c r="N272" s="15" t="str">
        <f aca="false">SUBSTITUTE(M272,"201710"," 201710")</f>
        <v>Clothing David 2017102 $0</v>
      </c>
      <c r="O272" s="21" t="n">
        <f aca="false">FIND(" ",N272)</f>
        <v>9</v>
      </c>
      <c r="P272" s="21" t="n">
        <f aca="false">FIND(" ",N272,O272+1)</f>
        <v>15</v>
      </c>
      <c r="Q272" s="21" t="n">
        <f aca="false">FIND(" ",N272,P272+1)</f>
        <v>23</v>
      </c>
      <c r="R272" s="26" t="str">
        <f aca="false">LEFT(N272,O272-1)</f>
        <v>Clothing</v>
      </c>
      <c r="S272" s="26" t="str">
        <f aca="false">MID(N272,O272+1,P272-O272-1)</f>
        <v>David</v>
      </c>
      <c r="T272" s="26" t="str">
        <f aca="false">MID(N272,P272+1,Q272-P272-1)</f>
        <v>2017102</v>
      </c>
      <c r="U272" s="26" t="n">
        <f aca="false">VALUE(MID(N272,Q272+2,90))</f>
        <v>0</v>
      </c>
      <c r="V272" s="27" t="n">
        <f aca="false">DATE(2017,10,MID(T272,7,2))</f>
        <v>43010</v>
      </c>
    </row>
    <row r="273" customFormat="false" ht="14.25" hidden="false" customHeight="false" outlineLevel="0" collapsed="false">
      <c r="A273" s="23" t="n">
        <f aca="false">A272+1</f>
        <v>269</v>
      </c>
      <c r="B273" s="14" t="s">
        <v>287</v>
      </c>
      <c r="C273" s="21" t="n">
        <f aca="false">CODE(RIGHT(B273,1))</f>
        <v>30</v>
      </c>
      <c r="D273" s="14" t="str">
        <f aca="false">CLEAN(B273)</f>
        <v>//PR:Clothing_____SP:Barney2017104    $1992  </v>
      </c>
      <c r="E273" s="21" t="n">
        <f aca="false">CODE(RIGHT(D273,1))</f>
        <v>32</v>
      </c>
      <c r="F273" s="14" t="str">
        <f aca="false">SUBSTITUTE(D273,_xlfn.UNICHAR(160)," ")</f>
        <v>//PR:Clothing_____SP:Barney2017104    $1992  </v>
      </c>
      <c r="G273" s="14" t="str">
        <f aca="false">SUBSTITUTE(F273,"/","")</f>
        <v>PR:Clothing_____SP:Barney2017104    $1992  </v>
      </c>
      <c r="H273" s="14" t="str">
        <f aca="false">SUBSTITUTE(G273,"_"," ")</f>
        <v>PR:Clothing     SP:Barney2017104    $1992  </v>
      </c>
      <c r="I273" s="14" t="str">
        <f aca="false">TRIM(H273)</f>
        <v>PR:Clothing SP:Barney2017104 $1992</v>
      </c>
      <c r="J273" s="21" t="n">
        <f aca="false">LEN(I273)</f>
        <v>34</v>
      </c>
      <c r="K273" s="21" t="n">
        <f aca="false">CODE(RIGHT(I273,1))</f>
        <v>50</v>
      </c>
      <c r="L273" s="14" t="str">
        <f aca="false">SUBSTITUTE(I273,"PR:","")</f>
        <v>Clothing SP:Barney2017104 $1992</v>
      </c>
      <c r="M273" s="14" t="str">
        <f aca="false">SUBSTITUTE(L273,"SP:","")</f>
        <v>Clothing Barney2017104 $1992</v>
      </c>
      <c r="N273" s="15" t="str">
        <f aca="false">SUBSTITUTE(M273,"201710"," 201710")</f>
        <v>Clothing Barney 2017104 $1992</v>
      </c>
      <c r="O273" s="21" t="n">
        <f aca="false">FIND(" ",N273)</f>
        <v>9</v>
      </c>
      <c r="P273" s="21" t="n">
        <f aca="false">FIND(" ",N273,O273+1)</f>
        <v>16</v>
      </c>
      <c r="Q273" s="21" t="n">
        <f aca="false">FIND(" ",N273,P273+1)</f>
        <v>24</v>
      </c>
      <c r="R273" s="26" t="str">
        <f aca="false">LEFT(N273,O273-1)</f>
        <v>Clothing</v>
      </c>
      <c r="S273" s="26" t="str">
        <f aca="false">MID(N273,O273+1,P273-O273-1)</f>
        <v>Barney</v>
      </c>
      <c r="T273" s="26" t="str">
        <f aca="false">MID(N273,P273+1,Q273-P273-1)</f>
        <v>2017104</v>
      </c>
      <c r="U273" s="26" t="n">
        <f aca="false">VALUE(MID(N273,Q273+2,90))</f>
        <v>1992</v>
      </c>
      <c r="V273" s="27" t="n">
        <f aca="false">DATE(2017,10,MID(T273,7,2))</f>
        <v>43012</v>
      </c>
    </row>
    <row r="274" customFormat="false" ht="14.25" hidden="false" customHeight="false" outlineLevel="0" collapsed="false">
      <c r="A274" s="23" t="n">
        <f aca="false">A273+1</f>
        <v>270</v>
      </c>
      <c r="B274" s="14" t="s">
        <v>288</v>
      </c>
      <c r="C274" s="21" t="n">
        <f aca="false">CODE(RIGHT(B274,1))</f>
        <v>31</v>
      </c>
      <c r="D274" s="14" t="str">
        <f aca="false">CLEAN(B274)</f>
        <v>/PR:Games__SP:David20171014    $1110   </v>
      </c>
      <c r="E274" s="21" t="n">
        <f aca="false">CODE(RIGHT(D274,1))</f>
        <v>32</v>
      </c>
      <c r="F274" s="14" t="str">
        <f aca="false">SUBSTITUTE(D274,_xlfn.UNICHAR(160)," ")</f>
        <v>/PR:Games__SP:David20171014    $1110   </v>
      </c>
      <c r="G274" s="14" t="str">
        <f aca="false">SUBSTITUTE(F274,"/","")</f>
        <v>PR:Games__SP:David20171014    $1110   </v>
      </c>
      <c r="H274" s="14" t="str">
        <f aca="false">SUBSTITUTE(G274,"_"," ")</f>
        <v>PR:Games  SP:David20171014    $1110   </v>
      </c>
      <c r="I274" s="14" t="str">
        <f aca="false">TRIM(H274)</f>
        <v>PR:Games SP:David20171014 $1110</v>
      </c>
      <c r="J274" s="21" t="n">
        <f aca="false">LEN(I274)</f>
        <v>31</v>
      </c>
      <c r="K274" s="21" t="n">
        <f aca="false">CODE(RIGHT(I274,1))</f>
        <v>48</v>
      </c>
      <c r="L274" s="14" t="str">
        <f aca="false">SUBSTITUTE(I274,"PR:","")</f>
        <v>Games SP:David20171014 $1110</v>
      </c>
      <c r="M274" s="14" t="str">
        <f aca="false">SUBSTITUTE(L274,"SP:","")</f>
        <v>Games David20171014 $1110</v>
      </c>
      <c r="N274" s="15" t="str">
        <f aca="false">SUBSTITUTE(M274,"201710"," 201710")</f>
        <v>Games David 20171014 $1110</v>
      </c>
      <c r="O274" s="21" t="n">
        <f aca="false">FIND(" ",N274)</f>
        <v>6</v>
      </c>
      <c r="P274" s="21" t="n">
        <f aca="false">FIND(" ",N274,O274+1)</f>
        <v>12</v>
      </c>
      <c r="Q274" s="21" t="n">
        <f aca="false">FIND(" ",N274,P274+1)</f>
        <v>21</v>
      </c>
      <c r="R274" s="26" t="str">
        <f aca="false">LEFT(N274,O274-1)</f>
        <v>Games</v>
      </c>
      <c r="S274" s="26" t="str">
        <f aca="false">MID(N274,O274+1,P274-O274-1)</f>
        <v>David</v>
      </c>
      <c r="T274" s="26" t="str">
        <f aca="false">MID(N274,P274+1,Q274-P274-1)</f>
        <v>20171014</v>
      </c>
      <c r="U274" s="26" t="n">
        <f aca="false">VALUE(MID(N274,Q274+2,90))</f>
        <v>1110</v>
      </c>
      <c r="V274" s="27" t="n">
        <f aca="false">DATE(2017,10,MID(T274,7,2))</f>
        <v>43022</v>
      </c>
    </row>
    <row r="275" customFormat="false" ht="14.25" hidden="false" customHeight="false" outlineLevel="0" collapsed="false">
      <c r="A275" s="23" t="n">
        <f aca="false">A274+1</f>
        <v>271</v>
      </c>
      <c r="B275" s="14" t="s">
        <v>289</v>
      </c>
      <c r="C275" s="21" t="n">
        <f aca="false">CODE(RIGHT(B275,1))</f>
        <v>31</v>
      </c>
      <c r="D275" s="14" t="str">
        <f aca="false">CLEAN(B275)</f>
        <v>//PR:Music_____SP:David2017102    $1315 </v>
      </c>
      <c r="E275" s="21" t="n">
        <f aca="false">CODE(RIGHT(D275,1))</f>
        <v>32</v>
      </c>
      <c r="F275" s="14" t="str">
        <f aca="false">SUBSTITUTE(D275,_xlfn.UNICHAR(160)," ")</f>
        <v>//PR:Music_____SP:David2017102    $1315 </v>
      </c>
      <c r="G275" s="14" t="str">
        <f aca="false">SUBSTITUTE(F275,"/","")</f>
        <v>PR:Music_____SP:David2017102    $1315 </v>
      </c>
      <c r="H275" s="14" t="str">
        <f aca="false">SUBSTITUTE(G275,"_"," ")</f>
        <v>PR:Music     SP:David2017102    $1315 </v>
      </c>
      <c r="I275" s="14" t="str">
        <f aca="false">TRIM(H275)</f>
        <v>PR:Music SP:David2017102 $1315</v>
      </c>
      <c r="J275" s="21" t="n">
        <f aca="false">LEN(I275)</f>
        <v>30</v>
      </c>
      <c r="K275" s="21" t="n">
        <f aca="false">CODE(RIGHT(I275,1))</f>
        <v>53</v>
      </c>
      <c r="L275" s="14" t="str">
        <f aca="false">SUBSTITUTE(I275,"PR:","")</f>
        <v>Music SP:David2017102 $1315</v>
      </c>
      <c r="M275" s="14" t="str">
        <f aca="false">SUBSTITUTE(L275,"SP:","")</f>
        <v>Music David2017102 $1315</v>
      </c>
      <c r="N275" s="15" t="str">
        <f aca="false">SUBSTITUTE(M275,"201710"," 201710")</f>
        <v>Music David 2017102 $1315</v>
      </c>
      <c r="O275" s="21" t="n">
        <f aca="false">FIND(" ",N275)</f>
        <v>6</v>
      </c>
      <c r="P275" s="21" t="n">
        <f aca="false">FIND(" ",N275,O275+1)</f>
        <v>12</v>
      </c>
      <c r="Q275" s="21" t="n">
        <f aca="false">FIND(" ",N275,P275+1)</f>
        <v>20</v>
      </c>
      <c r="R275" s="26" t="str">
        <f aca="false">LEFT(N275,O275-1)</f>
        <v>Music</v>
      </c>
      <c r="S275" s="26" t="str">
        <f aca="false">MID(N275,O275+1,P275-O275-1)</f>
        <v>David</v>
      </c>
      <c r="T275" s="26" t="str">
        <f aca="false">MID(N275,P275+1,Q275-P275-1)</f>
        <v>2017102</v>
      </c>
      <c r="U275" s="26" t="n">
        <f aca="false">VALUE(MID(N275,Q275+2,90))</f>
        <v>1315</v>
      </c>
      <c r="V275" s="27" t="n">
        <f aca="false">DATE(2017,10,MID(T275,7,2))</f>
        <v>43010</v>
      </c>
    </row>
    <row r="276" customFormat="false" ht="14.25" hidden="false" customHeight="false" outlineLevel="0" collapsed="false">
      <c r="A276" s="23" t="n">
        <f aca="false">A275+1</f>
        <v>272</v>
      </c>
      <c r="B276" s="14" t="s">
        <v>290</v>
      </c>
      <c r="C276" s="21" t="n">
        <f aca="false">CODE(RIGHT(B276,1))</f>
        <v>29</v>
      </c>
      <c r="D276" s="14" t="str">
        <f aca="false">CLEAN(B276)</f>
        <v>/////PR:Clothing_____SP:David20171014     $962     </v>
      </c>
      <c r="E276" s="21" t="n">
        <f aca="false">CODE(RIGHT(D276,1))</f>
        <v>32</v>
      </c>
      <c r="F276" s="14" t="str">
        <f aca="false">SUBSTITUTE(D276,_xlfn.UNICHAR(160)," ")</f>
        <v>/////PR:Clothing_____SP:David20171014     $962     </v>
      </c>
      <c r="G276" s="14" t="str">
        <f aca="false">SUBSTITUTE(F276,"/","")</f>
        <v>PR:Clothing_____SP:David20171014     $962     </v>
      </c>
      <c r="H276" s="14" t="str">
        <f aca="false">SUBSTITUTE(G276,"_"," ")</f>
        <v>PR:Clothing     SP:David20171014     $962     </v>
      </c>
      <c r="I276" s="14" t="str">
        <f aca="false">TRIM(H276)</f>
        <v>PR:Clothing SP:David20171014 $962</v>
      </c>
      <c r="J276" s="21" t="n">
        <f aca="false">LEN(I276)</f>
        <v>33</v>
      </c>
      <c r="K276" s="21" t="n">
        <f aca="false">CODE(RIGHT(I276,1))</f>
        <v>50</v>
      </c>
      <c r="L276" s="14" t="str">
        <f aca="false">SUBSTITUTE(I276,"PR:","")</f>
        <v>Clothing SP:David20171014 $962</v>
      </c>
      <c r="M276" s="14" t="str">
        <f aca="false">SUBSTITUTE(L276,"SP:","")</f>
        <v>Clothing David20171014 $962</v>
      </c>
      <c r="N276" s="15" t="str">
        <f aca="false">SUBSTITUTE(M276,"201710"," 201710")</f>
        <v>Clothing David 20171014 $962</v>
      </c>
      <c r="O276" s="21" t="n">
        <f aca="false">FIND(" ",N276)</f>
        <v>9</v>
      </c>
      <c r="P276" s="21" t="n">
        <f aca="false">FIND(" ",N276,O276+1)</f>
        <v>15</v>
      </c>
      <c r="Q276" s="21" t="n">
        <f aca="false">FIND(" ",N276,P276+1)</f>
        <v>24</v>
      </c>
      <c r="R276" s="26" t="str">
        <f aca="false">LEFT(N276,O276-1)</f>
        <v>Clothing</v>
      </c>
      <c r="S276" s="26" t="str">
        <f aca="false">MID(N276,O276+1,P276-O276-1)</f>
        <v>David</v>
      </c>
      <c r="T276" s="26" t="str">
        <f aca="false">MID(N276,P276+1,Q276-P276-1)</f>
        <v>20171014</v>
      </c>
      <c r="U276" s="26" t="n">
        <f aca="false">VALUE(MID(N276,Q276+2,90))</f>
        <v>962</v>
      </c>
      <c r="V276" s="27" t="n">
        <f aca="false">DATE(2017,10,MID(T276,7,2))</f>
        <v>43022</v>
      </c>
    </row>
    <row r="277" customFormat="false" ht="14.25" hidden="false" customHeight="false" outlineLevel="0" collapsed="false">
      <c r="A277" s="23" t="n">
        <f aca="false">A276+1</f>
        <v>273</v>
      </c>
      <c r="B277" s="14" t="s">
        <v>291</v>
      </c>
      <c r="C277" s="21" t="n">
        <f aca="false">CODE(RIGHT(B277,1))</f>
        <v>30</v>
      </c>
      <c r="D277" s="14" t="str">
        <f aca="false">CLEAN(B277)</f>
        <v>/PR:Clothing____SP:David20171012  $1066     </v>
      </c>
      <c r="E277" s="21" t="n">
        <f aca="false">CODE(RIGHT(D277,1))</f>
        <v>32</v>
      </c>
      <c r="F277" s="14" t="str">
        <f aca="false">SUBSTITUTE(D277,_xlfn.UNICHAR(160)," ")</f>
        <v>/PR:Clothing____SP:David20171012  $1066     </v>
      </c>
      <c r="G277" s="14" t="str">
        <f aca="false">SUBSTITUTE(F277,"/","")</f>
        <v>PR:Clothing____SP:David20171012  $1066     </v>
      </c>
      <c r="H277" s="14" t="str">
        <f aca="false">SUBSTITUTE(G277,"_"," ")</f>
        <v>PR:Clothing    SP:David20171012  $1066     </v>
      </c>
      <c r="I277" s="14" t="str">
        <f aca="false">TRIM(H277)</f>
        <v>PR:Clothing SP:David20171012 $1066</v>
      </c>
      <c r="J277" s="21" t="n">
        <f aca="false">LEN(I277)</f>
        <v>34</v>
      </c>
      <c r="K277" s="21" t="n">
        <f aca="false">CODE(RIGHT(I277,1))</f>
        <v>54</v>
      </c>
      <c r="L277" s="14" t="str">
        <f aca="false">SUBSTITUTE(I277,"PR:","")</f>
        <v>Clothing SP:David20171012 $1066</v>
      </c>
      <c r="M277" s="14" t="str">
        <f aca="false">SUBSTITUTE(L277,"SP:","")</f>
        <v>Clothing David20171012 $1066</v>
      </c>
      <c r="N277" s="15" t="str">
        <f aca="false">SUBSTITUTE(M277,"201710"," 201710")</f>
        <v>Clothing David 20171012 $1066</v>
      </c>
      <c r="O277" s="21" t="n">
        <f aca="false">FIND(" ",N277)</f>
        <v>9</v>
      </c>
      <c r="P277" s="21" t="n">
        <f aca="false">FIND(" ",N277,O277+1)</f>
        <v>15</v>
      </c>
      <c r="Q277" s="21" t="n">
        <f aca="false">FIND(" ",N277,P277+1)</f>
        <v>24</v>
      </c>
      <c r="R277" s="26" t="str">
        <f aca="false">LEFT(N277,O277-1)</f>
        <v>Clothing</v>
      </c>
      <c r="S277" s="26" t="str">
        <f aca="false">MID(N277,O277+1,P277-O277-1)</f>
        <v>David</v>
      </c>
      <c r="T277" s="26" t="str">
        <f aca="false">MID(N277,P277+1,Q277-P277-1)</f>
        <v>20171012</v>
      </c>
      <c r="U277" s="26" t="n">
        <f aca="false">VALUE(MID(N277,Q277+2,90))</f>
        <v>1066</v>
      </c>
      <c r="V277" s="27" t="n">
        <f aca="false">DATE(2017,10,MID(T277,7,2))</f>
        <v>43020</v>
      </c>
    </row>
    <row r="278" customFormat="false" ht="14.25" hidden="false" customHeight="false" outlineLevel="0" collapsed="false">
      <c r="A278" s="23" t="n">
        <f aca="false">A277+1</f>
        <v>274</v>
      </c>
      <c r="B278" s="14" t="s">
        <v>292</v>
      </c>
      <c r="C278" s="21" t="n">
        <f aca="false">CODE(RIGHT(B278,1))</f>
        <v>29</v>
      </c>
      <c r="D278" s="14" t="str">
        <f aca="false">CLEAN(B278)</f>
        <v>///PR:Books_SP:David20171025    $749 </v>
      </c>
      <c r="E278" s="21" t="n">
        <f aca="false">CODE(RIGHT(D278,1))</f>
        <v>32</v>
      </c>
      <c r="F278" s="14" t="str">
        <f aca="false">SUBSTITUTE(D278,_xlfn.UNICHAR(160)," ")</f>
        <v>///PR:Books_SP:David20171025    $749 </v>
      </c>
      <c r="G278" s="14" t="str">
        <f aca="false">SUBSTITUTE(F278,"/","")</f>
        <v>PR:Books_SP:David20171025    $749 </v>
      </c>
      <c r="H278" s="14" t="str">
        <f aca="false">SUBSTITUTE(G278,"_"," ")</f>
        <v>PR:Books SP:David20171025    $749 </v>
      </c>
      <c r="I278" s="14" t="str">
        <f aca="false">TRIM(H278)</f>
        <v>PR:Books SP:David20171025 $749</v>
      </c>
      <c r="J278" s="21" t="n">
        <f aca="false">LEN(I278)</f>
        <v>30</v>
      </c>
      <c r="K278" s="21" t="n">
        <f aca="false">CODE(RIGHT(I278,1))</f>
        <v>57</v>
      </c>
      <c r="L278" s="14" t="str">
        <f aca="false">SUBSTITUTE(I278,"PR:","")</f>
        <v>Books SP:David20171025 $749</v>
      </c>
      <c r="M278" s="14" t="str">
        <f aca="false">SUBSTITUTE(L278,"SP:","")</f>
        <v>Books David20171025 $749</v>
      </c>
      <c r="N278" s="15" t="str">
        <f aca="false">SUBSTITUTE(M278,"201710"," 201710")</f>
        <v>Books David 20171025 $749</v>
      </c>
      <c r="O278" s="21" t="n">
        <f aca="false">FIND(" ",N278)</f>
        <v>6</v>
      </c>
      <c r="P278" s="21" t="n">
        <f aca="false">FIND(" ",N278,O278+1)</f>
        <v>12</v>
      </c>
      <c r="Q278" s="21" t="n">
        <f aca="false">FIND(" ",N278,P278+1)</f>
        <v>21</v>
      </c>
      <c r="R278" s="26" t="str">
        <f aca="false">LEFT(N278,O278-1)</f>
        <v>Books</v>
      </c>
      <c r="S278" s="26" t="str">
        <f aca="false">MID(N278,O278+1,P278-O278-1)</f>
        <v>David</v>
      </c>
      <c r="T278" s="26" t="str">
        <f aca="false">MID(N278,P278+1,Q278-P278-1)</f>
        <v>20171025</v>
      </c>
      <c r="U278" s="26" t="n">
        <f aca="false">VALUE(MID(N278,Q278+2,90))</f>
        <v>749</v>
      </c>
      <c r="V278" s="27" t="n">
        <f aca="false">DATE(2017,10,MID(T278,7,2))</f>
        <v>43033</v>
      </c>
    </row>
    <row r="279" customFormat="false" ht="14.25" hidden="false" customHeight="false" outlineLevel="0" collapsed="false">
      <c r="A279" s="23" t="n">
        <f aca="false">A278+1</f>
        <v>275</v>
      </c>
      <c r="B279" s="14" t="s">
        <v>293</v>
      </c>
      <c r="C279" s="21" t="n">
        <f aca="false">CODE(RIGHT(B279,1))</f>
        <v>31</v>
      </c>
      <c r="D279" s="14" t="str">
        <f aca="false">CLEAN(B279)</f>
        <v>/////PR:Clothing__SP:Carol2017107 $1535     </v>
      </c>
      <c r="E279" s="21" t="n">
        <f aca="false">CODE(RIGHT(D279,1))</f>
        <v>32</v>
      </c>
      <c r="F279" s="14" t="str">
        <f aca="false">SUBSTITUTE(D279,_xlfn.UNICHAR(160)," ")</f>
        <v>/////PR:Clothing__SP:Carol2017107 $1535     </v>
      </c>
      <c r="G279" s="14" t="str">
        <f aca="false">SUBSTITUTE(F279,"/","")</f>
        <v>PR:Clothing__SP:Carol2017107 $1535     </v>
      </c>
      <c r="H279" s="14" t="str">
        <f aca="false">SUBSTITUTE(G279,"_"," ")</f>
        <v>PR:Clothing  SP:Carol2017107 $1535     </v>
      </c>
      <c r="I279" s="14" t="str">
        <f aca="false">TRIM(H279)</f>
        <v>PR:Clothing SP:Carol2017107 $1535</v>
      </c>
      <c r="J279" s="21" t="n">
        <f aca="false">LEN(I279)</f>
        <v>33</v>
      </c>
      <c r="K279" s="21" t="n">
        <f aca="false">CODE(RIGHT(I279,1))</f>
        <v>53</v>
      </c>
      <c r="L279" s="14" t="str">
        <f aca="false">SUBSTITUTE(I279,"PR:","")</f>
        <v>Clothing SP:Carol2017107 $1535</v>
      </c>
      <c r="M279" s="14" t="str">
        <f aca="false">SUBSTITUTE(L279,"SP:","")</f>
        <v>Clothing Carol2017107 $1535</v>
      </c>
      <c r="N279" s="15" t="str">
        <f aca="false">SUBSTITUTE(M279,"201710"," 201710")</f>
        <v>Clothing Carol 2017107 $1535</v>
      </c>
      <c r="O279" s="21" t="n">
        <f aca="false">FIND(" ",N279)</f>
        <v>9</v>
      </c>
      <c r="P279" s="21" t="n">
        <f aca="false">FIND(" ",N279,O279+1)</f>
        <v>15</v>
      </c>
      <c r="Q279" s="21" t="n">
        <f aca="false">FIND(" ",N279,P279+1)</f>
        <v>23</v>
      </c>
      <c r="R279" s="26" t="str">
        <f aca="false">LEFT(N279,O279-1)</f>
        <v>Clothing</v>
      </c>
      <c r="S279" s="26" t="str">
        <f aca="false">MID(N279,O279+1,P279-O279-1)</f>
        <v>Carol</v>
      </c>
      <c r="T279" s="26" t="str">
        <f aca="false">MID(N279,P279+1,Q279-P279-1)</f>
        <v>2017107</v>
      </c>
      <c r="U279" s="26" t="n">
        <f aca="false">VALUE(MID(N279,Q279+2,90))</f>
        <v>1535</v>
      </c>
      <c r="V279" s="27" t="n">
        <f aca="false">DATE(2017,10,MID(T279,7,2))</f>
        <v>43015</v>
      </c>
    </row>
    <row r="280" customFormat="false" ht="14.25" hidden="false" customHeight="false" outlineLevel="0" collapsed="false">
      <c r="A280" s="23" t="n">
        <f aca="false">A279+1</f>
        <v>276</v>
      </c>
      <c r="B280" s="14" t="s">
        <v>294</v>
      </c>
      <c r="C280" s="21" t="n">
        <f aca="false">CODE(RIGHT(B280,1))</f>
        <v>30</v>
      </c>
      <c r="D280" s="14" t="str">
        <f aca="false">CLEAN(B280)</f>
        <v>/PR:Music___SP:Alice20171026   $1330   </v>
      </c>
      <c r="E280" s="21" t="n">
        <f aca="false">CODE(RIGHT(D280,1))</f>
        <v>32</v>
      </c>
      <c r="F280" s="14" t="str">
        <f aca="false">SUBSTITUTE(D280,_xlfn.UNICHAR(160)," ")</f>
        <v>/PR:Music___SP:Alice20171026   $1330   </v>
      </c>
      <c r="G280" s="14" t="str">
        <f aca="false">SUBSTITUTE(F280,"/","")</f>
        <v>PR:Music___SP:Alice20171026   $1330   </v>
      </c>
      <c r="H280" s="14" t="str">
        <f aca="false">SUBSTITUTE(G280,"_"," ")</f>
        <v>PR:Music   SP:Alice20171026   $1330   </v>
      </c>
      <c r="I280" s="14" t="str">
        <f aca="false">TRIM(H280)</f>
        <v>PR:Music SP:Alice20171026 $1330</v>
      </c>
      <c r="J280" s="21" t="n">
        <f aca="false">LEN(I280)</f>
        <v>31</v>
      </c>
      <c r="K280" s="21" t="n">
        <f aca="false">CODE(RIGHT(I280,1))</f>
        <v>48</v>
      </c>
      <c r="L280" s="14" t="str">
        <f aca="false">SUBSTITUTE(I280,"PR:","")</f>
        <v>Music SP:Alice20171026 $1330</v>
      </c>
      <c r="M280" s="14" t="str">
        <f aca="false">SUBSTITUTE(L280,"SP:","")</f>
        <v>Music Alice20171026 $1330</v>
      </c>
      <c r="N280" s="15" t="str">
        <f aca="false">SUBSTITUTE(M280,"201710"," 201710")</f>
        <v>Music Alice 20171026 $1330</v>
      </c>
      <c r="O280" s="21" t="n">
        <f aca="false">FIND(" ",N280)</f>
        <v>6</v>
      </c>
      <c r="P280" s="21" t="n">
        <f aca="false">FIND(" ",N280,O280+1)</f>
        <v>12</v>
      </c>
      <c r="Q280" s="21" t="n">
        <f aca="false">FIND(" ",N280,P280+1)</f>
        <v>21</v>
      </c>
      <c r="R280" s="26" t="str">
        <f aca="false">LEFT(N280,O280-1)</f>
        <v>Music</v>
      </c>
      <c r="S280" s="26" t="str">
        <f aca="false">MID(N280,O280+1,P280-O280-1)</f>
        <v>Alice</v>
      </c>
      <c r="T280" s="26" t="str">
        <f aca="false">MID(N280,P280+1,Q280-P280-1)</f>
        <v>20171026</v>
      </c>
      <c r="U280" s="26" t="n">
        <f aca="false">VALUE(MID(N280,Q280+2,90))</f>
        <v>1330</v>
      </c>
      <c r="V280" s="27" t="n">
        <f aca="false">DATE(2017,10,MID(T280,7,2))</f>
        <v>43034</v>
      </c>
    </row>
    <row r="281" customFormat="false" ht="14.25" hidden="false" customHeight="false" outlineLevel="0" collapsed="false">
      <c r="A281" s="23" t="n">
        <f aca="false">A280+1</f>
        <v>277</v>
      </c>
      <c r="B281" s="14" t="s">
        <v>295</v>
      </c>
      <c r="C281" s="21" t="n">
        <f aca="false">CODE(RIGHT(B281,1))</f>
        <v>30</v>
      </c>
      <c r="D281" s="14" t="str">
        <f aca="false">CLEAN(B281)</f>
        <v>/PR:Games__SP:Carol20171011 $0    </v>
      </c>
      <c r="E281" s="21" t="n">
        <f aca="false">CODE(RIGHT(D281,1))</f>
        <v>32</v>
      </c>
      <c r="F281" s="14" t="str">
        <f aca="false">SUBSTITUTE(D281,_xlfn.UNICHAR(160)," ")</f>
        <v>/PR:Games__SP:Carol20171011 $0    </v>
      </c>
      <c r="G281" s="14" t="str">
        <f aca="false">SUBSTITUTE(F281,"/","")</f>
        <v>PR:Games__SP:Carol20171011 $0    </v>
      </c>
      <c r="H281" s="14" t="str">
        <f aca="false">SUBSTITUTE(G281,"_"," ")</f>
        <v>PR:Games  SP:Carol20171011 $0    </v>
      </c>
      <c r="I281" s="14" t="str">
        <f aca="false">TRIM(H281)</f>
        <v>PR:Games SP:Carol20171011 $0</v>
      </c>
      <c r="J281" s="21" t="n">
        <f aca="false">LEN(I281)</f>
        <v>28</v>
      </c>
      <c r="K281" s="21" t="n">
        <f aca="false">CODE(RIGHT(I281,1))</f>
        <v>48</v>
      </c>
      <c r="L281" s="14" t="str">
        <f aca="false">SUBSTITUTE(I281,"PR:","")</f>
        <v>Games SP:Carol20171011 $0</v>
      </c>
      <c r="M281" s="14" t="str">
        <f aca="false">SUBSTITUTE(L281,"SP:","")</f>
        <v>Games Carol20171011 $0</v>
      </c>
      <c r="N281" s="15" t="str">
        <f aca="false">SUBSTITUTE(M281,"201710"," 201710")</f>
        <v>Games Carol 20171011 $0</v>
      </c>
      <c r="O281" s="21" t="n">
        <f aca="false">FIND(" ",N281)</f>
        <v>6</v>
      </c>
      <c r="P281" s="21" t="n">
        <f aca="false">FIND(" ",N281,O281+1)</f>
        <v>12</v>
      </c>
      <c r="Q281" s="21" t="n">
        <f aca="false">FIND(" ",N281,P281+1)</f>
        <v>21</v>
      </c>
      <c r="R281" s="26" t="str">
        <f aca="false">LEFT(N281,O281-1)</f>
        <v>Games</v>
      </c>
      <c r="S281" s="26" t="str">
        <f aca="false">MID(N281,O281+1,P281-O281-1)</f>
        <v>Carol</v>
      </c>
      <c r="T281" s="26" t="str">
        <f aca="false">MID(N281,P281+1,Q281-P281-1)</f>
        <v>20171011</v>
      </c>
      <c r="U281" s="26" t="n">
        <f aca="false">VALUE(MID(N281,Q281+2,90))</f>
        <v>0</v>
      </c>
      <c r="V281" s="27" t="n">
        <f aca="false">DATE(2017,10,MID(T281,7,2))</f>
        <v>43019</v>
      </c>
    </row>
    <row r="282" customFormat="false" ht="14.25" hidden="false" customHeight="false" outlineLevel="0" collapsed="false">
      <c r="A282" s="23" t="n">
        <f aca="false">A281+1</f>
        <v>278</v>
      </c>
      <c r="B282" s="14" t="s">
        <v>296</v>
      </c>
      <c r="C282" s="21" t="n">
        <f aca="false">CODE(RIGHT(B282,1))</f>
        <v>29</v>
      </c>
      <c r="D282" s="14" t="str">
        <f aca="false">CLEAN(B282)</f>
        <v>/////PR:Games___SP:David2017106  $1248   </v>
      </c>
      <c r="E282" s="21" t="n">
        <f aca="false">CODE(RIGHT(D282,1))</f>
        <v>32</v>
      </c>
      <c r="F282" s="14" t="str">
        <f aca="false">SUBSTITUTE(D282,_xlfn.UNICHAR(160)," ")</f>
        <v>/////PR:Games___SP:David2017106  $1248   </v>
      </c>
      <c r="G282" s="14" t="str">
        <f aca="false">SUBSTITUTE(F282,"/","")</f>
        <v>PR:Games___SP:David2017106  $1248   </v>
      </c>
      <c r="H282" s="14" t="str">
        <f aca="false">SUBSTITUTE(G282,"_"," ")</f>
        <v>PR:Games   SP:David2017106  $1248   </v>
      </c>
      <c r="I282" s="14" t="str">
        <f aca="false">TRIM(H282)</f>
        <v>PR:Games SP:David2017106 $1248</v>
      </c>
      <c r="J282" s="21" t="n">
        <f aca="false">LEN(I282)</f>
        <v>30</v>
      </c>
      <c r="K282" s="21" t="n">
        <f aca="false">CODE(RIGHT(I282,1))</f>
        <v>56</v>
      </c>
      <c r="L282" s="14" t="str">
        <f aca="false">SUBSTITUTE(I282,"PR:","")</f>
        <v>Games SP:David2017106 $1248</v>
      </c>
      <c r="M282" s="14" t="str">
        <f aca="false">SUBSTITUTE(L282,"SP:","")</f>
        <v>Games David2017106 $1248</v>
      </c>
      <c r="N282" s="15" t="str">
        <f aca="false">SUBSTITUTE(M282,"201710"," 201710")</f>
        <v>Games David 2017106 $1248</v>
      </c>
      <c r="O282" s="21" t="n">
        <f aca="false">FIND(" ",N282)</f>
        <v>6</v>
      </c>
      <c r="P282" s="21" t="n">
        <f aca="false">FIND(" ",N282,O282+1)</f>
        <v>12</v>
      </c>
      <c r="Q282" s="21" t="n">
        <f aca="false">FIND(" ",N282,P282+1)</f>
        <v>20</v>
      </c>
      <c r="R282" s="26" t="str">
        <f aca="false">LEFT(N282,O282-1)</f>
        <v>Games</v>
      </c>
      <c r="S282" s="26" t="str">
        <f aca="false">MID(N282,O282+1,P282-O282-1)</f>
        <v>David</v>
      </c>
      <c r="T282" s="26" t="str">
        <f aca="false">MID(N282,P282+1,Q282-P282-1)</f>
        <v>2017106</v>
      </c>
      <c r="U282" s="26" t="n">
        <f aca="false">VALUE(MID(N282,Q282+2,90))</f>
        <v>1248</v>
      </c>
      <c r="V282" s="27" t="n">
        <f aca="false">DATE(2017,10,MID(T282,7,2))</f>
        <v>43014</v>
      </c>
    </row>
    <row r="283" customFormat="false" ht="14.25" hidden="false" customHeight="false" outlineLevel="0" collapsed="false">
      <c r="A283" s="23" t="n">
        <f aca="false">A282+1</f>
        <v>279</v>
      </c>
      <c r="B283" s="14" t="s">
        <v>297</v>
      </c>
      <c r="C283" s="21" t="n">
        <f aca="false">CODE(RIGHT(B283,1))</f>
        <v>31</v>
      </c>
      <c r="D283" s="14" t="str">
        <f aca="false">CLEAN(B283)</f>
        <v>//PR:Clothing__SP:David2017106     $1106 </v>
      </c>
      <c r="E283" s="21" t="n">
        <f aca="false">CODE(RIGHT(D283,1))</f>
        <v>32</v>
      </c>
      <c r="F283" s="14" t="str">
        <f aca="false">SUBSTITUTE(D283,_xlfn.UNICHAR(160)," ")</f>
        <v>//PR:Clothing__SP:David2017106     $1106 </v>
      </c>
      <c r="G283" s="14" t="str">
        <f aca="false">SUBSTITUTE(F283,"/","")</f>
        <v>PR:Clothing__SP:David2017106     $1106 </v>
      </c>
      <c r="H283" s="14" t="str">
        <f aca="false">SUBSTITUTE(G283,"_"," ")</f>
        <v>PR:Clothing  SP:David2017106     $1106 </v>
      </c>
      <c r="I283" s="14" t="str">
        <f aca="false">TRIM(H283)</f>
        <v>PR:Clothing SP:David2017106 $1106</v>
      </c>
      <c r="J283" s="21" t="n">
        <f aca="false">LEN(I283)</f>
        <v>33</v>
      </c>
      <c r="K283" s="21" t="n">
        <f aca="false">CODE(RIGHT(I283,1))</f>
        <v>54</v>
      </c>
      <c r="L283" s="14" t="str">
        <f aca="false">SUBSTITUTE(I283,"PR:","")</f>
        <v>Clothing SP:David2017106 $1106</v>
      </c>
      <c r="M283" s="14" t="str">
        <f aca="false">SUBSTITUTE(L283,"SP:","")</f>
        <v>Clothing David2017106 $1106</v>
      </c>
      <c r="N283" s="15" t="str">
        <f aca="false">SUBSTITUTE(M283,"201710"," 201710")</f>
        <v>Clothing David 2017106 $1106</v>
      </c>
      <c r="O283" s="21" t="n">
        <f aca="false">FIND(" ",N283)</f>
        <v>9</v>
      </c>
      <c r="P283" s="21" t="n">
        <f aca="false">FIND(" ",N283,O283+1)</f>
        <v>15</v>
      </c>
      <c r="Q283" s="21" t="n">
        <f aca="false">FIND(" ",N283,P283+1)</f>
        <v>23</v>
      </c>
      <c r="R283" s="26" t="str">
        <f aca="false">LEFT(N283,O283-1)</f>
        <v>Clothing</v>
      </c>
      <c r="S283" s="26" t="str">
        <f aca="false">MID(N283,O283+1,P283-O283-1)</f>
        <v>David</v>
      </c>
      <c r="T283" s="26" t="str">
        <f aca="false">MID(N283,P283+1,Q283-P283-1)</f>
        <v>2017106</v>
      </c>
      <c r="U283" s="26" t="n">
        <f aca="false">VALUE(MID(N283,Q283+2,90))</f>
        <v>1106</v>
      </c>
      <c r="V283" s="27" t="n">
        <f aca="false">DATE(2017,10,MID(T283,7,2))</f>
        <v>43014</v>
      </c>
    </row>
    <row r="284" customFormat="false" ht="14.25" hidden="false" customHeight="false" outlineLevel="0" collapsed="false">
      <c r="A284" s="23" t="n">
        <f aca="false">A283+1</f>
        <v>280</v>
      </c>
      <c r="B284" s="14" t="s">
        <v>298</v>
      </c>
      <c r="C284" s="21" t="n">
        <f aca="false">CODE(RIGHT(B284,1))</f>
        <v>29</v>
      </c>
      <c r="D284" s="14" t="str">
        <f aca="false">CLEAN(B284)</f>
        <v>//PR:Games____SP:Alice20171029     $1164    </v>
      </c>
      <c r="E284" s="21" t="n">
        <f aca="false">CODE(RIGHT(D284,1))</f>
        <v>32</v>
      </c>
      <c r="F284" s="14" t="str">
        <f aca="false">SUBSTITUTE(D284,_xlfn.UNICHAR(160)," ")</f>
        <v>//PR:Games____SP:Alice20171029     $1164    </v>
      </c>
      <c r="G284" s="14" t="str">
        <f aca="false">SUBSTITUTE(F284,"/","")</f>
        <v>PR:Games____SP:Alice20171029     $1164    </v>
      </c>
      <c r="H284" s="14" t="str">
        <f aca="false">SUBSTITUTE(G284,"_"," ")</f>
        <v>PR:Games    SP:Alice20171029     $1164    </v>
      </c>
      <c r="I284" s="14" t="str">
        <f aca="false">TRIM(H284)</f>
        <v>PR:Games SP:Alice20171029 $1164</v>
      </c>
      <c r="J284" s="21" t="n">
        <f aca="false">LEN(I284)</f>
        <v>31</v>
      </c>
      <c r="K284" s="21" t="n">
        <f aca="false">CODE(RIGHT(I284,1))</f>
        <v>52</v>
      </c>
      <c r="L284" s="14" t="str">
        <f aca="false">SUBSTITUTE(I284,"PR:","")</f>
        <v>Games SP:Alice20171029 $1164</v>
      </c>
      <c r="M284" s="14" t="str">
        <f aca="false">SUBSTITUTE(L284,"SP:","")</f>
        <v>Games Alice20171029 $1164</v>
      </c>
      <c r="N284" s="15" t="str">
        <f aca="false">SUBSTITUTE(M284,"201710"," 201710")</f>
        <v>Games Alice 20171029 $1164</v>
      </c>
      <c r="O284" s="21" t="n">
        <f aca="false">FIND(" ",N284)</f>
        <v>6</v>
      </c>
      <c r="P284" s="21" t="n">
        <f aca="false">FIND(" ",N284,O284+1)</f>
        <v>12</v>
      </c>
      <c r="Q284" s="21" t="n">
        <f aca="false">FIND(" ",N284,P284+1)</f>
        <v>21</v>
      </c>
      <c r="R284" s="26" t="str">
        <f aca="false">LEFT(N284,O284-1)</f>
        <v>Games</v>
      </c>
      <c r="S284" s="26" t="str">
        <f aca="false">MID(N284,O284+1,P284-O284-1)</f>
        <v>Alice</v>
      </c>
      <c r="T284" s="26" t="str">
        <f aca="false">MID(N284,P284+1,Q284-P284-1)</f>
        <v>20171029</v>
      </c>
      <c r="U284" s="26" t="n">
        <f aca="false">VALUE(MID(N284,Q284+2,90))</f>
        <v>1164</v>
      </c>
      <c r="V284" s="27" t="n">
        <f aca="false">DATE(2017,10,MID(T284,7,2))</f>
        <v>43037</v>
      </c>
    </row>
    <row r="285" customFormat="false" ht="14.25" hidden="false" customHeight="false" outlineLevel="0" collapsed="false">
      <c r="A285" s="23" t="n">
        <f aca="false">A284+1</f>
        <v>281</v>
      </c>
      <c r="B285" s="14" t="s">
        <v>299</v>
      </c>
      <c r="C285" s="21" t="n">
        <f aca="false">CODE(RIGHT(B285,1))</f>
        <v>31</v>
      </c>
      <c r="D285" s="14" t="str">
        <f aca="false">CLEAN(B285)</f>
        <v>//PR:Games____SP:Barney2017106  $0 </v>
      </c>
      <c r="E285" s="21" t="n">
        <f aca="false">CODE(RIGHT(D285,1))</f>
        <v>32</v>
      </c>
      <c r="F285" s="14" t="str">
        <f aca="false">SUBSTITUTE(D285,_xlfn.UNICHAR(160)," ")</f>
        <v>//PR:Games____SP:Barney2017106  $0 </v>
      </c>
      <c r="G285" s="14" t="str">
        <f aca="false">SUBSTITUTE(F285,"/","")</f>
        <v>PR:Games____SP:Barney2017106  $0 </v>
      </c>
      <c r="H285" s="14" t="str">
        <f aca="false">SUBSTITUTE(G285,"_"," ")</f>
        <v>PR:Games    SP:Barney2017106  $0 </v>
      </c>
      <c r="I285" s="14" t="str">
        <f aca="false">TRIM(H285)</f>
        <v>PR:Games SP:Barney2017106 $0</v>
      </c>
      <c r="J285" s="21" t="n">
        <f aca="false">LEN(I285)</f>
        <v>28</v>
      </c>
      <c r="K285" s="21" t="n">
        <f aca="false">CODE(RIGHT(I285,1))</f>
        <v>48</v>
      </c>
      <c r="L285" s="14" t="str">
        <f aca="false">SUBSTITUTE(I285,"PR:","")</f>
        <v>Games SP:Barney2017106 $0</v>
      </c>
      <c r="M285" s="14" t="str">
        <f aca="false">SUBSTITUTE(L285,"SP:","")</f>
        <v>Games Barney2017106 $0</v>
      </c>
      <c r="N285" s="15" t="str">
        <f aca="false">SUBSTITUTE(M285,"201710"," 201710")</f>
        <v>Games Barney 2017106 $0</v>
      </c>
      <c r="O285" s="21" t="n">
        <f aca="false">FIND(" ",N285)</f>
        <v>6</v>
      </c>
      <c r="P285" s="21" t="n">
        <f aca="false">FIND(" ",N285,O285+1)</f>
        <v>13</v>
      </c>
      <c r="Q285" s="21" t="n">
        <f aca="false">FIND(" ",N285,P285+1)</f>
        <v>21</v>
      </c>
      <c r="R285" s="26" t="str">
        <f aca="false">LEFT(N285,O285-1)</f>
        <v>Games</v>
      </c>
      <c r="S285" s="26" t="str">
        <f aca="false">MID(N285,O285+1,P285-O285-1)</f>
        <v>Barney</v>
      </c>
      <c r="T285" s="26" t="str">
        <f aca="false">MID(N285,P285+1,Q285-P285-1)</f>
        <v>2017106</v>
      </c>
      <c r="U285" s="26" t="n">
        <f aca="false">VALUE(MID(N285,Q285+2,90))</f>
        <v>0</v>
      </c>
      <c r="V285" s="27" t="n">
        <f aca="false">DATE(2017,10,MID(T285,7,2))</f>
        <v>43014</v>
      </c>
    </row>
    <row r="286" customFormat="false" ht="14.25" hidden="false" customHeight="false" outlineLevel="0" collapsed="false">
      <c r="A286" s="23" t="n">
        <f aca="false">A285+1</f>
        <v>282</v>
      </c>
      <c r="B286" s="14" t="s">
        <v>300</v>
      </c>
      <c r="C286" s="21" t="n">
        <f aca="false">CODE(RIGHT(B286,1))</f>
        <v>29</v>
      </c>
      <c r="D286" s="14" t="str">
        <f aca="false">CLEAN(B286)</f>
        <v>////PR:Games___SP:David20171030   $1281  </v>
      </c>
      <c r="E286" s="21" t="n">
        <f aca="false">CODE(RIGHT(D286,1))</f>
        <v>32</v>
      </c>
      <c r="F286" s="14" t="str">
        <f aca="false">SUBSTITUTE(D286,_xlfn.UNICHAR(160)," ")</f>
        <v>////PR:Games___SP:David20171030   $1281  </v>
      </c>
      <c r="G286" s="14" t="str">
        <f aca="false">SUBSTITUTE(F286,"/","")</f>
        <v>PR:Games___SP:David20171030   $1281  </v>
      </c>
      <c r="H286" s="14" t="str">
        <f aca="false">SUBSTITUTE(G286,"_"," ")</f>
        <v>PR:Games   SP:David20171030   $1281  </v>
      </c>
      <c r="I286" s="14" t="str">
        <f aca="false">TRIM(H286)</f>
        <v>PR:Games SP:David20171030 $1281</v>
      </c>
      <c r="J286" s="21" t="n">
        <f aca="false">LEN(I286)</f>
        <v>31</v>
      </c>
      <c r="K286" s="21" t="n">
        <f aca="false">CODE(RIGHT(I286,1))</f>
        <v>49</v>
      </c>
      <c r="L286" s="14" t="str">
        <f aca="false">SUBSTITUTE(I286,"PR:","")</f>
        <v>Games SP:David20171030 $1281</v>
      </c>
      <c r="M286" s="14" t="str">
        <f aca="false">SUBSTITUTE(L286,"SP:","")</f>
        <v>Games David20171030 $1281</v>
      </c>
      <c r="N286" s="15" t="str">
        <f aca="false">SUBSTITUTE(M286,"201710"," 201710")</f>
        <v>Games David 20171030 $1281</v>
      </c>
      <c r="O286" s="21" t="n">
        <f aca="false">FIND(" ",N286)</f>
        <v>6</v>
      </c>
      <c r="P286" s="21" t="n">
        <f aca="false">FIND(" ",N286,O286+1)</f>
        <v>12</v>
      </c>
      <c r="Q286" s="21" t="n">
        <f aca="false">FIND(" ",N286,P286+1)</f>
        <v>21</v>
      </c>
      <c r="R286" s="26" t="str">
        <f aca="false">LEFT(N286,O286-1)</f>
        <v>Games</v>
      </c>
      <c r="S286" s="26" t="str">
        <f aca="false">MID(N286,O286+1,P286-O286-1)</f>
        <v>David</v>
      </c>
      <c r="T286" s="26" t="str">
        <f aca="false">MID(N286,P286+1,Q286-P286-1)</f>
        <v>20171030</v>
      </c>
      <c r="U286" s="26" t="n">
        <f aca="false">VALUE(MID(N286,Q286+2,90))</f>
        <v>1281</v>
      </c>
      <c r="V286" s="27" t="n">
        <f aca="false">DATE(2017,10,MID(T286,7,2))</f>
        <v>43038</v>
      </c>
    </row>
    <row r="287" customFormat="false" ht="14.25" hidden="false" customHeight="false" outlineLevel="0" collapsed="false">
      <c r="A287" s="23" t="n">
        <f aca="false">A286+1</f>
        <v>283</v>
      </c>
      <c r="B287" s="14" t="s">
        <v>301</v>
      </c>
      <c r="C287" s="21" t="n">
        <f aca="false">CODE(RIGHT(B287,1))</f>
        <v>30</v>
      </c>
      <c r="D287" s="14" t="str">
        <f aca="false">CLEAN(B287)</f>
        <v>///PR:Music_SP:Alice20171019    $0     </v>
      </c>
      <c r="E287" s="21" t="n">
        <f aca="false">CODE(RIGHT(D287,1))</f>
        <v>32</v>
      </c>
      <c r="F287" s="14" t="str">
        <f aca="false">SUBSTITUTE(D287,_xlfn.UNICHAR(160)," ")</f>
        <v>///PR:Music_SP:Alice20171019    $0     </v>
      </c>
      <c r="G287" s="14" t="str">
        <f aca="false">SUBSTITUTE(F287,"/","")</f>
        <v>PR:Music_SP:Alice20171019    $0     </v>
      </c>
      <c r="H287" s="14" t="str">
        <f aca="false">SUBSTITUTE(G287,"_"," ")</f>
        <v>PR:Music SP:Alice20171019    $0     </v>
      </c>
      <c r="I287" s="14" t="str">
        <f aca="false">TRIM(H287)</f>
        <v>PR:Music SP:Alice20171019 $0</v>
      </c>
      <c r="J287" s="21" t="n">
        <f aca="false">LEN(I287)</f>
        <v>28</v>
      </c>
      <c r="K287" s="21" t="n">
        <f aca="false">CODE(RIGHT(I287,1))</f>
        <v>48</v>
      </c>
      <c r="L287" s="14" t="str">
        <f aca="false">SUBSTITUTE(I287,"PR:","")</f>
        <v>Music SP:Alice20171019 $0</v>
      </c>
      <c r="M287" s="14" t="str">
        <f aca="false">SUBSTITUTE(L287,"SP:","")</f>
        <v>Music Alice20171019 $0</v>
      </c>
      <c r="N287" s="15" t="str">
        <f aca="false">SUBSTITUTE(M287,"201710"," 201710")</f>
        <v>Music Alice 20171019 $0</v>
      </c>
      <c r="O287" s="21" t="n">
        <f aca="false">FIND(" ",N287)</f>
        <v>6</v>
      </c>
      <c r="P287" s="21" t="n">
        <f aca="false">FIND(" ",N287,O287+1)</f>
        <v>12</v>
      </c>
      <c r="Q287" s="21" t="n">
        <f aca="false">FIND(" ",N287,P287+1)</f>
        <v>21</v>
      </c>
      <c r="R287" s="26" t="str">
        <f aca="false">LEFT(N287,O287-1)</f>
        <v>Music</v>
      </c>
      <c r="S287" s="26" t="str">
        <f aca="false">MID(N287,O287+1,P287-O287-1)</f>
        <v>Alice</v>
      </c>
      <c r="T287" s="26" t="str">
        <f aca="false">MID(N287,P287+1,Q287-P287-1)</f>
        <v>20171019</v>
      </c>
      <c r="U287" s="26" t="n">
        <f aca="false">VALUE(MID(N287,Q287+2,90))</f>
        <v>0</v>
      </c>
      <c r="V287" s="27" t="n">
        <f aca="false">DATE(2017,10,MID(T287,7,2))</f>
        <v>43027</v>
      </c>
    </row>
    <row r="288" customFormat="false" ht="14.25" hidden="false" customHeight="false" outlineLevel="0" collapsed="false">
      <c r="A288" s="23" t="n">
        <f aca="false">A287+1</f>
        <v>284</v>
      </c>
      <c r="B288" s="14" t="s">
        <v>302</v>
      </c>
      <c r="C288" s="21" t="n">
        <f aca="false">CODE(RIGHT(B288,1))</f>
        <v>31</v>
      </c>
      <c r="D288" s="14" t="str">
        <f aca="false">CLEAN(B288)</f>
        <v>//PR:Clothing_SP:Alice20171027   $0    </v>
      </c>
      <c r="E288" s="21" t="n">
        <f aca="false">CODE(RIGHT(D288,1))</f>
        <v>32</v>
      </c>
      <c r="F288" s="14" t="str">
        <f aca="false">SUBSTITUTE(D288,_xlfn.UNICHAR(160)," ")</f>
        <v>//PR:Clothing_SP:Alice20171027   $0    </v>
      </c>
      <c r="G288" s="14" t="str">
        <f aca="false">SUBSTITUTE(F288,"/","")</f>
        <v>PR:Clothing_SP:Alice20171027   $0    </v>
      </c>
      <c r="H288" s="14" t="str">
        <f aca="false">SUBSTITUTE(G288,"_"," ")</f>
        <v>PR:Clothing SP:Alice20171027   $0    </v>
      </c>
      <c r="I288" s="14" t="str">
        <f aca="false">TRIM(H288)</f>
        <v>PR:Clothing SP:Alice20171027 $0</v>
      </c>
      <c r="J288" s="21" t="n">
        <f aca="false">LEN(I288)</f>
        <v>31</v>
      </c>
      <c r="K288" s="21" t="n">
        <f aca="false">CODE(RIGHT(I288,1))</f>
        <v>48</v>
      </c>
      <c r="L288" s="14" t="str">
        <f aca="false">SUBSTITUTE(I288,"PR:","")</f>
        <v>Clothing SP:Alice20171027 $0</v>
      </c>
      <c r="M288" s="14" t="str">
        <f aca="false">SUBSTITUTE(L288,"SP:","")</f>
        <v>Clothing Alice20171027 $0</v>
      </c>
      <c r="N288" s="15" t="str">
        <f aca="false">SUBSTITUTE(M288,"201710"," 201710")</f>
        <v>Clothing Alice 20171027 $0</v>
      </c>
      <c r="O288" s="21" t="n">
        <f aca="false">FIND(" ",N288)</f>
        <v>9</v>
      </c>
      <c r="P288" s="21" t="n">
        <f aca="false">FIND(" ",N288,O288+1)</f>
        <v>15</v>
      </c>
      <c r="Q288" s="21" t="n">
        <f aca="false">FIND(" ",N288,P288+1)</f>
        <v>24</v>
      </c>
      <c r="R288" s="26" t="str">
        <f aca="false">LEFT(N288,O288-1)</f>
        <v>Clothing</v>
      </c>
      <c r="S288" s="26" t="str">
        <f aca="false">MID(N288,O288+1,P288-O288-1)</f>
        <v>Alice</v>
      </c>
      <c r="T288" s="26" t="str">
        <f aca="false">MID(N288,P288+1,Q288-P288-1)</f>
        <v>20171027</v>
      </c>
      <c r="U288" s="26" t="n">
        <f aca="false">VALUE(MID(N288,Q288+2,90))</f>
        <v>0</v>
      </c>
      <c r="V288" s="27" t="n">
        <f aca="false">DATE(2017,10,MID(T288,7,2))</f>
        <v>43035</v>
      </c>
    </row>
    <row r="289" customFormat="false" ht="14.25" hidden="false" customHeight="false" outlineLevel="0" collapsed="false">
      <c r="A289" s="23" t="n">
        <f aca="false">A288+1</f>
        <v>285</v>
      </c>
      <c r="B289" s="14" t="s">
        <v>303</v>
      </c>
      <c r="C289" s="21" t="n">
        <f aca="false">CODE(RIGHT(B289,1))</f>
        <v>31</v>
      </c>
      <c r="D289" s="14" t="str">
        <f aca="false">CLEAN(B289)</f>
        <v>//PR:Books_____SP:David20171027     $0    </v>
      </c>
      <c r="E289" s="21" t="n">
        <f aca="false">CODE(RIGHT(D289,1))</f>
        <v>32</v>
      </c>
      <c r="F289" s="14" t="str">
        <f aca="false">SUBSTITUTE(D289,_xlfn.UNICHAR(160)," ")</f>
        <v>//PR:Books_____SP:David20171027     $0    </v>
      </c>
      <c r="G289" s="14" t="str">
        <f aca="false">SUBSTITUTE(F289,"/","")</f>
        <v>PR:Books_____SP:David20171027     $0    </v>
      </c>
      <c r="H289" s="14" t="str">
        <f aca="false">SUBSTITUTE(G289,"_"," ")</f>
        <v>PR:Books     SP:David20171027     $0    </v>
      </c>
      <c r="I289" s="14" t="str">
        <f aca="false">TRIM(H289)</f>
        <v>PR:Books SP:David20171027 $0</v>
      </c>
      <c r="J289" s="21" t="n">
        <f aca="false">LEN(I289)</f>
        <v>28</v>
      </c>
      <c r="K289" s="21" t="n">
        <f aca="false">CODE(RIGHT(I289,1))</f>
        <v>48</v>
      </c>
      <c r="L289" s="14" t="str">
        <f aca="false">SUBSTITUTE(I289,"PR:","")</f>
        <v>Books SP:David20171027 $0</v>
      </c>
      <c r="M289" s="14" t="str">
        <f aca="false">SUBSTITUTE(L289,"SP:","")</f>
        <v>Books David20171027 $0</v>
      </c>
      <c r="N289" s="15" t="str">
        <f aca="false">SUBSTITUTE(M289,"201710"," 201710")</f>
        <v>Books David 20171027 $0</v>
      </c>
      <c r="O289" s="21" t="n">
        <f aca="false">FIND(" ",N289)</f>
        <v>6</v>
      </c>
      <c r="P289" s="21" t="n">
        <f aca="false">FIND(" ",N289,O289+1)</f>
        <v>12</v>
      </c>
      <c r="Q289" s="21" t="n">
        <f aca="false">FIND(" ",N289,P289+1)</f>
        <v>21</v>
      </c>
      <c r="R289" s="26" t="str">
        <f aca="false">LEFT(N289,O289-1)</f>
        <v>Books</v>
      </c>
      <c r="S289" s="26" t="str">
        <f aca="false">MID(N289,O289+1,P289-O289-1)</f>
        <v>David</v>
      </c>
      <c r="T289" s="26" t="str">
        <f aca="false">MID(N289,P289+1,Q289-P289-1)</f>
        <v>20171027</v>
      </c>
      <c r="U289" s="26" t="n">
        <f aca="false">VALUE(MID(N289,Q289+2,90))</f>
        <v>0</v>
      </c>
      <c r="V289" s="27" t="n">
        <f aca="false">DATE(2017,10,MID(T289,7,2))</f>
        <v>43035</v>
      </c>
    </row>
    <row r="290" customFormat="false" ht="14.25" hidden="false" customHeight="false" outlineLevel="0" collapsed="false">
      <c r="A290" s="23" t="n">
        <f aca="false">A289+1</f>
        <v>286</v>
      </c>
      <c r="B290" s="14" t="s">
        <v>304</v>
      </c>
      <c r="C290" s="21" t="n">
        <f aca="false">CODE(RIGHT(B290,1))</f>
        <v>30</v>
      </c>
      <c r="D290" s="14" t="str">
        <f aca="false">CLEAN(B290)</f>
        <v>//PR:Clothing____SP:Alice2017104     $1616 </v>
      </c>
      <c r="E290" s="21" t="n">
        <f aca="false">CODE(RIGHT(D290,1))</f>
        <v>32</v>
      </c>
      <c r="F290" s="14" t="str">
        <f aca="false">SUBSTITUTE(D290,_xlfn.UNICHAR(160)," ")</f>
        <v>//PR:Clothing____SP:Alice2017104     $1616 </v>
      </c>
      <c r="G290" s="14" t="str">
        <f aca="false">SUBSTITUTE(F290,"/","")</f>
        <v>PR:Clothing____SP:Alice2017104     $1616 </v>
      </c>
      <c r="H290" s="14" t="str">
        <f aca="false">SUBSTITUTE(G290,"_"," ")</f>
        <v>PR:Clothing    SP:Alice2017104     $1616 </v>
      </c>
      <c r="I290" s="14" t="str">
        <f aca="false">TRIM(H290)</f>
        <v>PR:Clothing SP:Alice2017104 $1616</v>
      </c>
      <c r="J290" s="21" t="n">
        <f aca="false">LEN(I290)</f>
        <v>33</v>
      </c>
      <c r="K290" s="21" t="n">
        <f aca="false">CODE(RIGHT(I290,1))</f>
        <v>54</v>
      </c>
      <c r="L290" s="14" t="str">
        <f aca="false">SUBSTITUTE(I290,"PR:","")</f>
        <v>Clothing SP:Alice2017104 $1616</v>
      </c>
      <c r="M290" s="14" t="str">
        <f aca="false">SUBSTITUTE(L290,"SP:","")</f>
        <v>Clothing Alice2017104 $1616</v>
      </c>
      <c r="N290" s="15" t="str">
        <f aca="false">SUBSTITUTE(M290,"201710"," 201710")</f>
        <v>Clothing Alice 2017104 $1616</v>
      </c>
      <c r="O290" s="21" t="n">
        <f aca="false">FIND(" ",N290)</f>
        <v>9</v>
      </c>
      <c r="P290" s="21" t="n">
        <f aca="false">FIND(" ",N290,O290+1)</f>
        <v>15</v>
      </c>
      <c r="Q290" s="21" t="n">
        <f aca="false">FIND(" ",N290,P290+1)</f>
        <v>23</v>
      </c>
      <c r="R290" s="26" t="str">
        <f aca="false">LEFT(N290,O290-1)</f>
        <v>Clothing</v>
      </c>
      <c r="S290" s="26" t="str">
        <f aca="false">MID(N290,O290+1,P290-O290-1)</f>
        <v>Alice</v>
      </c>
      <c r="T290" s="26" t="str">
        <f aca="false">MID(N290,P290+1,Q290-P290-1)</f>
        <v>2017104</v>
      </c>
      <c r="U290" s="26" t="n">
        <f aca="false">VALUE(MID(N290,Q290+2,90))</f>
        <v>1616</v>
      </c>
      <c r="V290" s="27" t="n">
        <f aca="false">DATE(2017,10,MID(T290,7,2))</f>
        <v>43012</v>
      </c>
    </row>
    <row r="291" customFormat="false" ht="14.25" hidden="false" customHeight="false" outlineLevel="0" collapsed="false">
      <c r="A291" s="23" t="n">
        <f aca="false">A290+1</f>
        <v>287</v>
      </c>
      <c r="B291" s="14" t="s">
        <v>305</v>
      </c>
      <c r="C291" s="21" t="n">
        <f aca="false">CODE(RIGHT(B291,1))</f>
        <v>30</v>
      </c>
      <c r="D291" s="14" t="str">
        <f aca="false">CLEAN(B291)</f>
        <v>////PR:Games_SP:Alice20171020    $2087 </v>
      </c>
      <c r="E291" s="21" t="n">
        <f aca="false">CODE(RIGHT(D291,1))</f>
        <v>32</v>
      </c>
      <c r="F291" s="14" t="str">
        <f aca="false">SUBSTITUTE(D291,_xlfn.UNICHAR(160)," ")</f>
        <v>////PR:Games_SP:Alice20171020    $2087 </v>
      </c>
      <c r="G291" s="14" t="str">
        <f aca="false">SUBSTITUTE(F291,"/","")</f>
        <v>PR:Games_SP:Alice20171020    $2087 </v>
      </c>
      <c r="H291" s="14" t="str">
        <f aca="false">SUBSTITUTE(G291,"_"," ")</f>
        <v>PR:Games SP:Alice20171020    $2087 </v>
      </c>
      <c r="I291" s="14" t="str">
        <f aca="false">TRIM(H291)</f>
        <v>PR:Games SP:Alice20171020 $2087</v>
      </c>
      <c r="J291" s="21" t="n">
        <f aca="false">LEN(I291)</f>
        <v>31</v>
      </c>
      <c r="K291" s="21" t="n">
        <f aca="false">CODE(RIGHT(I291,1))</f>
        <v>55</v>
      </c>
      <c r="L291" s="14" t="str">
        <f aca="false">SUBSTITUTE(I291,"PR:","")</f>
        <v>Games SP:Alice20171020 $2087</v>
      </c>
      <c r="M291" s="14" t="str">
        <f aca="false">SUBSTITUTE(L291,"SP:","")</f>
        <v>Games Alice20171020 $2087</v>
      </c>
      <c r="N291" s="15" t="str">
        <f aca="false">SUBSTITUTE(M291,"201710"," 201710")</f>
        <v>Games Alice 20171020 $2087</v>
      </c>
      <c r="O291" s="21" t="n">
        <f aca="false">FIND(" ",N291)</f>
        <v>6</v>
      </c>
      <c r="P291" s="21" t="n">
        <f aca="false">FIND(" ",N291,O291+1)</f>
        <v>12</v>
      </c>
      <c r="Q291" s="21" t="n">
        <f aca="false">FIND(" ",N291,P291+1)</f>
        <v>21</v>
      </c>
      <c r="R291" s="26" t="str">
        <f aca="false">LEFT(N291,O291-1)</f>
        <v>Games</v>
      </c>
      <c r="S291" s="26" t="str">
        <f aca="false">MID(N291,O291+1,P291-O291-1)</f>
        <v>Alice</v>
      </c>
      <c r="T291" s="26" t="str">
        <f aca="false">MID(N291,P291+1,Q291-P291-1)</f>
        <v>20171020</v>
      </c>
      <c r="U291" s="26" t="n">
        <f aca="false">VALUE(MID(N291,Q291+2,90))</f>
        <v>2087</v>
      </c>
      <c r="V291" s="27" t="n">
        <f aca="false">DATE(2017,10,MID(T291,7,2))</f>
        <v>43028</v>
      </c>
    </row>
    <row r="292" customFormat="false" ht="14.25" hidden="false" customHeight="false" outlineLevel="0" collapsed="false">
      <c r="A292" s="23" t="n">
        <f aca="false">A291+1</f>
        <v>288</v>
      </c>
      <c r="B292" s="14" t="s">
        <v>306</v>
      </c>
      <c r="C292" s="21" t="n">
        <f aca="false">CODE(RIGHT(B292,1))</f>
        <v>30</v>
      </c>
      <c r="D292" s="14" t="str">
        <f aca="false">CLEAN(B292)</f>
        <v>///PR:Books____SP:Alice20171024  $762   </v>
      </c>
      <c r="E292" s="21" t="n">
        <f aca="false">CODE(RIGHT(D292,1))</f>
        <v>32</v>
      </c>
      <c r="F292" s="14" t="str">
        <f aca="false">SUBSTITUTE(D292,_xlfn.UNICHAR(160)," ")</f>
        <v>///PR:Books____SP:Alice20171024  $762   </v>
      </c>
      <c r="G292" s="14" t="str">
        <f aca="false">SUBSTITUTE(F292,"/","")</f>
        <v>PR:Books____SP:Alice20171024  $762   </v>
      </c>
      <c r="H292" s="14" t="str">
        <f aca="false">SUBSTITUTE(G292,"_"," ")</f>
        <v>PR:Books    SP:Alice20171024  $762   </v>
      </c>
      <c r="I292" s="14" t="str">
        <f aca="false">TRIM(H292)</f>
        <v>PR:Books SP:Alice20171024 $762</v>
      </c>
      <c r="J292" s="21" t="n">
        <f aca="false">LEN(I292)</f>
        <v>30</v>
      </c>
      <c r="K292" s="21" t="n">
        <f aca="false">CODE(RIGHT(I292,1))</f>
        <v>50</v>
      </c>
      <c r="L292" s="14" t="str">
        <f aca="false">SUBSTITUTE(I292,"PR:","")</f>
        <v>Books SP:Alice20171024 $762</v>
      </c>
      <c r="M292" s="14" t="str">
        <f aca="false">SUBSTITUTE(L292,"SP:","")</f>
        <v>Books Alice20171024 $762</v>
      </c>
      <c r="N292" s="15" t="str">
        <f aca="false">SUBSTITUTE(M292,"201710"," 201710")</f>
        <v>Books Alice 20171024 $762</v>
      </c>
      <c r="O292" s="21" t="n">
        <f aca="false">FIND(" ",N292)</f>
        <v>6</v>
      </c>
      <c r="P292" s="21" t="n">
        <f aca="false">FIND(" ",N292,O292+1)</f>
        <v>12</v>
      </c>
      <c r="Q292" s="21" t="n">
        <f aca="false">FIND(" ",N292,P292+1)</f>
        <v>21</v>
      </c>
      <c r="R292" s="26" t="str">
        <f aca="false">LEFT(N292,O292-1)</f>
        <v>Books</v>
      </c>
      <c r="S292" s="26" t="str">
        <f aca="false">MID(N292,O292+1,P292-O292-1)</f>
        <v>Alice</v>
      </c>
      <c r="T292" s="26" t="str">
        <f aca="false">MID(N292,P292+1,Q292-P292-1)</f>
        <v>20171024</v>
      </c>
      <c r="U292" s="26" t="n">
        <f aca="false">VALUE(MID(N292,Q292+2,90))</f>
        <v>762</v>
      </c>
      <c r="V292" s="27" t="n">
        <f aca="false">DATE(2017,10,MID(T292,7,2))</f>
        <v>43032</v>
      </c>
    </row>
    <row r="293" customFormat="false" ht="14.25" hidden="false" customHeight="false" outlineLevel="0" collapsed="false">
      <c r="A293" s="23" t="n">
        <f aca="false">A292+1</f>
        <v>289</v>
      </c>
      <c r="B293" s="14" t="s">
        <v>307</v>
      </c>
      <c r="C293" s="21" t="n">
        <f aca="false">CODE(RIGHT(B293,1))</f>
        <v>28</v>
      </c>
      <c r="D293" s="14" t="str">
        <f aca="false">CLEAN(B293)</f>
        <v>/////PR:Clothing____SP:Barney20171023     $0 </v>
      </c>
      <c r="E293" s="21" t="n">
        <f aca="false">CODE(RIGHT(D293,1))</f>
        <v>32</v>
      </c>
      <c r="F293" s="14" t="str">
        <f aca="false">SUBSTITUTE(D293,_xlfn.UNICHAR(160)," ")</f>
        <v>/////PR:Clothing____SP:Barney20171023     $0 </v>
      </c>
      <c r="G293" s="14" t="str">
        <f aca="false">SUBSTITUTE(F293,"/","")</f>
        <v>PR:Clothing____SP:Barney20171023     $0 </v>
      </c>
      <c r="H293" s="14" t="str">
        <f aca="false">SUBSTITUTE(G293,"_"," ")</f>
        <v>PR:Clothing    SP:Barney20171023     $0 </v>
      </c>
      <c r="I293" s="14" t="str">
        <f aca="false">TRIM(H293)</f>
        <v>PR:Clothing SP:Barney20171023 $0</v>
      </c>
      <c r="J293" s="21" t="n">
        <f aca="false">LEN(I293)</f>
        <v>32</v>
      </c>
      <c r="K293" s="21" t="n">
        <f aca="false">CODE(RIGHT(I293,1))</f>
        <v>48</v>
      </c>
      <c r="L293" s="14" t="str">
        <f aca="false">SUBSTITUTE(I293,"PR:","")</f>
        <v>Clothing SP:Barney20171023 $0</v>
      </c>
      <c r="M293" s="14" t="str">
        <f aca="false">SUBSTITUTE(L293,"SP:","")</f>
        <v>Clothing Barney20171023 $0</v>
      </c>
      <c r="N293" s="15" t="str">
        <f aca="false">SUBSTITUTE(M293,"201710"," 201710")</f>
        <v>Clothing Barney 20171023 $0</v>
      </c>
      <c r="O293" s="21" t="n">
        <f aca="false">FIND(" ",N293)</f>
        <v>9</v>
      </c>
      <c r="P293" s="21" t="n">
        <f aca="false">FIND(" ",N293,O293+1)</f>
        <v>16</v>
      </c>
      <c r="Q293" s="21" t="n">
        <f aca="false">FIND(" ",N293,P293+1)</f>
        <v>25</v>
      </c>
      <c r="R293" s="26" t="str">
        <f aca="false">LEFT(N293,O293-1)</f>
        <v>Clothing</v>
      </c>
      <c r="S293" s="26" t="str">
        <f aca="false">MID(N293,O293+1,P293-O293-1)</f>
        <v>Barney</v>
      </c>
      <c r="T293" s="26" t="str">
        <f aca="false">MID(N293,P293+1,Q293-P293-1)</f>
        <v>20171023</v>
      </c>
      <c r="U293" s="26" t="n">
        <f aca="false">VALUE(MID(N293,Q293+2,90))</f>
        <v>0</v>
      </c>
      <c r="V293" s="27" t="n">
        <f aca="false">DATE(2017,10,MID(T293,7,2))</f>
        <v>43031</v>
      </c>
    </row>
    <row r="294" customFormat="false" ht="14.25" hidden="false" customHeight="false" outlineLevel="0" collapsed="false">
      <c r="A294" s="23" t="n">
        <f aca="false">A293+1</f>
        <v>290</v>
      </c>
      <c r="B294" s="14" t="s">
        <v>308</v>
      </c>
      <c r="C294" s="21" t="n">
        <f aca="false">CODE(RIGHT(B294,1))</f>
        <v>28</v>
      </c>
      <c r="D294" s="14" t="str">
        <f aca="false">CLEAN(B294)</f>
        <v>////PR:Books_SP:Barney2017103    $0  </v>
      </c>
      <c r="E294" s="21" t="n">
        <f aca="false">CODE(RIGHT(D294,1))</f>
        <v>32</v>
      </c>
      <c r="F294" s="14" t="str">
        <f aca="false">SUBSTITUTE(D294,_xlfn.UNICHAR(160)," ")</f>
        <v>////PR:Books_SP:Barney2017103    $0  </v>
      </c>
      <c r="G294" s="14" t="str">
        <f aca="false">SUBSTITUTE(F294,"/","")</f>
        <v>PR:Books_SP:Barney2017103    $0  </v>
      </c>
      <c r="H294" s="14" t="str">
        <f aca="false">SUBSTITUTE(G294,"_"," ")</f>
        <v>PR:Books SP:Barney2017103    $0  </v>
      </c>
      <c r="I294" s="14" t="str">
        <f aca="false">TRIM(H294)</f>
        <v>PR:Books SP:Barney2017103 $0</v>
      </c>
      <c r="J294" s="21" t="n">
        <f aca="false">LEN(I294)</f>
        <v>28</v>
      </c>
      <c r="K294" s="21" t="n">
        <f aca="false">CODE(RIGHT(I294,1))</f>
        <v>48</v>
      </c>
      <c r="L294" s="14" t="str">
        <f aca="false">SUBSTITUTE(I294,"PR:","")</f>
        <v>Books SP:Barney2017103 $0</v>
      </c>
      <c r="M294" s="14" t="str">
        <f aca="false">SUBSTITUTE(L294,"SP:","")</f>
        <v>Books Barney2017103 $0</v>
      </c>
      <c r="N294" s="15" t="str">
        <f aca="false">SUBSTITUTE(M294,"201710"," 201710")</f>
        <v>Books Barney 2017103 $0</v>
      </c>
      <c r="O294" s="21" t="n">
        <f aca="false">FIND(" ",N294)</f>
        <v>6</v>
      </c>
      <c r="P294" s="21" t="n">
        <f aca="false">FIND(" ",N294,O294+1)</f>
        <v>13</v>
      </c>
      <c r="Q294" s="21" t="n">
        <f aca="false">FIND(" ",N294,P294+1)</f>
        <v>21</v>
      </c>
      <c r="R294" s="26" t="str">
        <f aca="false">LEFT(N294,O294-1)</f>
        <v>Books</v>
      </c>
      <c r="S294" s="26" t="str">
        <f aca="false">MID(N294,O294+1,P294-O294-1)</f>
        <v>Barney</v>
      </c>
      <c r="T294" s="26" t="str">
        <f aca="false">MID(N294,P294+1,Q294-P294-1)</f>
        <v>2017103</v>
      </c>
      <c r="U294" s="26" t="n">
        <f aca="false">VALUE(MID(N294,Q294+2,90))</f>
        <v>0</v>
      </c>
      <c r="V294" s="27" t="n">
        <f aca="false">DATE(2017,10,MID(T294,7,2))</f>
        <v>43011</v>
      </c>
    </row>
    <row r="295" customFormat="false" ht="14.25" hidden="false" customHeight="false" outlineLevel="0" collapsed="false">
      <c r="A295" s="23" t="n">
        <f aca="false">A294+1</f>
        <v>291</v>
      </c>
      <c r="B295" s="14" t="s">
        <v>309</v>
      </c>
      <c r="C295" s="21" t="n">
        <f aca="false">CODE(RIGHT(B295,1))</f>
        <v>28</v>
      </c>
      <c r="D295" s="14" t="str">
        <f aca="false">CLEAN(B295)</f>
        <v>//PR:Books__SP:David20171028    $904   </v>
      </c>
      <c r="E295" s="21" t="n">
        <f aca="false">CODE(RIGHT(D295,1))</f>
        <v>32</v>
      </c>
      <c r="F295" s="14" t="str">
        <f aca="false">SUBSTITUTE(D295,_xlfn.UNICHAR(160)," ")</f>
        <v>//PR:Books__SP:David20171028    $904   </v>
      </c>
      <c r="G295" s="14" t="str">
        <f aca="false">SUBSTITUTE(F295,"/","")</f>
        <v>PR:Books__SP:David20171028    $904   </v>
      </c>
      <c r="H295" s="14" t="str">
        <f aca="false">SUBSTITUTE(G295,"_"," ")</f>
        <v>PR:Books  SP:David20171028    $904   </v>
      </c>
      <c r="I295" s="14" t="str">
        <f aca="false">TRIM(H295)</f>
        <v>PR:Books SP:David20171028 $904</v>
      </c>
      <c r="J295" s="21" t="n">
        <f aca="false">LEN(I295)</f>
        <v>30</v>
      </c>
      <c r="K295" s="21" t="n">
        <f aca="false">CODE(RIGHT(I295,1))</f>
        <v>52</v>
      </c>
      <c r="L295" s="14" t="str">
        <f aca="false">SUBSTITUTE(I295,"PR:","")</f>
        <v>Books SP:David20171028 $904</v>
      </c>
      <c r="M295" s="14" t="str">
        <f aca="false">SUBSTITUTE(L295,"SP:","")</f>
        <v>Books David20171028 $904</v>
      </c>
      <c r="N295" s="15" t="str">
        <f aca="false">SUBSTITUTE(M295,"201710"," 201710")</f>
        <v>Books David 20171028 $904</v>
      </c>
      <c r="O295" s="21" t="n">
        <f aca="false">FIND(" ",N295)</f>
        <v>6</v>
      </c>
      <c r="P295" s="21" t="n">
        <f aca="false">FIND(" ",N295,O295+1)</f>
        <v>12</v>
      </c>
      <c r="Q295" s="21" t="n">
        <f aca="false">FIND(" ",N295,P295+1)</f>
        <v>21</v>
      </c>
      <c r="R295" s="26" t="str">
        <f aca="false">LEFT(N295,O295-1)</f>
        <v>Books</v>
      </c>
      <c r="S295" s="26" t="str">
        <f aca="false">MID(N295,O295+1,P295-O295-1)</f>
        <v>David</v>
      </c>
      <c r="T295" s="26" t="str">
        <f aca="false">MID(N295,P295+1,Q295-P295-1)</f>
        <v>20171028</v>
      </c>
      <c r="U295" s="26" t="n">
        <f aca="false">VALUE(MID(N295,Q295+2,90))</f>
        <v>904</v>
      </c>
      <c r="V295" s="27" t="n">
        <f aca="false">DATE(2017,10,MID(T295,7,2))</f>
        <v>43036</v>
      </c>
    </row>
    <row r="296" customFormat="false" ht="14.25" hidden="false" customHeight="false" outlineLevel="0" collapsed="false">
      <c r="A296" s="23" t="n">
        <f aca="false">A295+1</f>
        <v>292</v>
      </c>
      <c r="B296" s="14" t="s">
        <v>310</v>
      </c>
      <c r="C296" s="21" t="n">
        <f aca="false">CODE(RIGHT(B296,1))</f>
        <v>31</v>
      </c>
      <c r="D296" s="14" t="str">
        <f aca="false">CLEAN(B296)</f>
        <v>//PR:Books__SP:Alice20171010     $0 </v>
      </c>
      <c r="E296" s="21" t="n">
        <f aca="false">CODE(RIGHT(D296,1))</f>
        <v>32</v>
      </c>
      <c r="F296" s="14" t="str">
        <f aca="false">SUBSTITUTE(D296,_xlfn.UNICHAR(160)," ")</f>
        <v>//PR:Books__SP:Alice20171010     $0 </v>
      </c>
      <c r="G296" s="14" t="str">
        <f aca="false">SUBSTITUTE(F296,"/","")</f>
        <v>PR:Books__SP:Alice20171010     $0 </v>
      </c>
      <c r="H296" s="14" t="str">
        <f aca="false">SUBSTITUTE(G296,"_"," ")</f>
        <v>PR:Books  SP:Alice20171010     $0 </v>
      </c>
      <c r="I296" s="14" t="str">
        <f aca="false">TRIM(H296)</f>
        <v>PR:Books SP:Alice20171010 $0</v>
      </c>
      <c r="J296" s="21" t="n">
        <f aca="false">LEN(I296)</f>
        <v>28</v>
      </c>
      <c r="K296" s="21" t="n">
        <f aca="false">CODE(RIGHT(I296,1))</f>
        <v>48</v>
      </c>
      <c r="L296" s="14" t="str">
        <f aca="false">SUBSTITUTE(I296,"PR:","")</f>
        <v>Books SP:Alice20171010 $0</v>
      </c>
      <c r="M296" s="14" t="str">
        <f aca="false">SUBSTITUTE(L296,"SP:","")</f>
        <v>Books Alice20171010 $0</v>
      </c>
      <c r="N296" s="15" t="str">
        <f aca="false">SUBSTITUTE(M296,"201710"," 201710")</f>
        <v>Books Alice 20171010 $0</v>
      </c>
      <c r="O296" s="21" t="n">
        <f aca="false">FIND(" ",N296)</f>
        <v>6</v>
      </c>
      <c r="P296" s="21" t="n">
        <f aca="false">FIND(" ",N296,O296+1)</f>
        <v>12</v>
      </c>
      <c r="Q296" s="21" t="n">
        <f aca="false">FIND(" ",N296,P296+1)</f>
        <v>21</v>
      </c>
      <c r="R296" s="26" t="str">
        <f aca="false">LEFT(N296,O296-1)</f>
        <v>Books</v>
      </c>
      <c r="S296" s="26" t="str">
        <f aca="false">MID(N296,O296+1,P296-O296-1)</f>
        <v>Alice</v>
      </c>
      <c r="T296" s="26" t="str">
        <f aca="false">MID(N296,P296+1,Q296-P296-1)</f>
        <v>20171010</v>
      </c>
      <c r="U296" s="26" t="n">
        <f aca="false">VALUE(MID(N296,Q296+2,90))</f>
        <v>0</v>
      </c>
      <c r="V296" s="27" t="n">
        <f aca="false">DATE(2017,10,MID(T296,7,2))</f>
        <v>43018</v>
      </c>
    </row>
    <row r="297" customFormat="false" ht="14.25" hidden="false" customHeight="false" outlineLevel="0" collapsed="false">
      <c r="A297" s="23" t="n">
        <f aca="false">A296+1</f>
        <v>293</v>
      </c>
      <c r="B297" s="14" t="s">
        <v>311</v>
      </c>
      <c r="C297" s="21" t="n">
        <f aca="false">CODE(RIGHT(B297,1))</f>
        <v>29</v>
      </c>
      <c r="D297" s="14" t="str">
        <f aca="false">CLEAN(B297)</f>
        <v>///PR:Games___SP:Barney20171015 $0    </v>
      </c>
      <c r="E297" s="21" t="n">
        <f aca="false">CODE(RIGHT(D297,1))</f>
        <v>32</v>
      </c>
      <c r="F297" s="14" t="str">
        <f aca="false">SUBSTITUTE(D297,_xlfn.UNICHAR(160)," ")</f>
        <v>///PR:Games___SP:Barney20171015 $0    </v>
      </c>
      <c r="G297" s="14" t="str">
        <f aca="false">SUBSTITUTE(F297,"/","")</f>
        <v>PR:Games___SP:Barney20171015 $0    </v>
      </c>
      <c r="H297" s="14" t="str">
        <f aca="false">SUBSTITUTE(G297,"_"," ")</f>
        <v>PR:Games   SP:Barney20171015 $0    </v>
      </c>
      <c r="I297" s="14" t="str">
        <f aca="false">TRIM(H297)</f>
        <v>PR:Games SP:Barney20171015 $0</v>
      </c>
      <c r="J297" s="21" t="n">
        <f aca="false">LEN(I297)</f>
        <v>29</v>
      </c>
      <c r="K297" s="21" t="n">
        <f aca="false">CODE(RIGHT(I297,1))</f>
        <v>48</v>
      </c>
      <c r="L297" s="14" t="str">
        <f aca="false">SUBSTITUTE(I297,"PR:","")</f>
        <v>Games SP:Barney20171015 $0</v>
      </c>
      <c r="M297" s="14" t="str">
        <f aca="false">SUBSTITUTE(L297,"SP:","")</f>
        <v>Games Barney20171015 $0</v>
      </c>
      <c r="N297" s="15" t="str">
        <f aca="false">SUBSTITUTE(M297,"201710"," 201710")</f>
        <v>Games Barney 20171015 $0</v>
      </c>
      <c r="O297" s="21" t="n">
        <f aca="false">FIND(" ",N297)</f>
        <v>6</v>
      </c>
      <c r="P297" s="21" t="n">
        <f aca="false">FIND(" ",N297,O297+1)</f>
        <v>13</v>
      </c>
      <c r="Q297" s="21" t="n">
        <f aca="false">FIND(" ",N297,P297+1)</f>
        <v>22</v>
      </c>
      <c r="R297" s="26" t="str">
        <f aca="false">LEFT(N297,O297-1)</f>
        <v>Games</v>
      </c>
      <c r="S297" s="26" t="str">
        <f aca="false">MID(N297,O297+1,P297-O297-1)</f>
        <v>Barney</v>
      </c>
      <c r="T297" s="26" t="str">
        <f aca="false">MID(N297,P297+1,Q297-P297-1)</f>
        <v>20171015</v>
      </c>
      <c r="U297" s="26" t="n">
        <f aca="false">VALUE(MID(N297,Q297+2,90))</f>
        <v>0</v>
      </c>
      <c r="V297" s="27" t="n">
        <f aca="false">DATE(2017,10,MID(T297,7,2))</f>
        <v>43023</v>
      </c>
    </row>
    <row r="298" customFormat="false" ht="14.25" hidden="false" customHeight="false" outlineLevel="0" collapsed="false">
      <c r="A298" s="23" t="n">
        <f aca="false">A297+1</f>
        <v>294</v>
      </c>
      <c r="B298" s="14" t="s">
        <v>312</v>
      </c>
      <c r="C298" s="21" t="n">
        <f aca="false">CODE(RIGHT(B298,1))</f>
        <v>29</v>
      </c>
      <c r="D298" s="14" t="str">
        <f aca="false">CLEAN(B298)</f>
        <v>////PR:Books__SP:David2017106 $523  </v>
      </c>
      <c r="E298" s="21" t="n">
        <f aca="false">CODE(RIGHT(D298,1))</f>
        <v>32</v>
      </c>
      <c r="F298" s="14" t="str">
        <f aca="false">SUBSTITUTE(D298,_xlfn.UNICHAR(160)," ")</f>
        <v>////PR:Books__SP:David2017106 $523  </v>
      </c>
      <c r="G298" s="14" t="str">
        <f aca="false">SUBSTITUTE(F298,"/","")</f>
        <v>PR:Books__SP:David2017106 $523  </v>
      </c>
      <c r="H298" s="14" t="str">
        <f aca="false">SUBSTITUTE(G298,"_"," ")</f>
        <v>PR:Books  SP:David2017106 $523  </v>
      </c>
      <c r="I298" s="14" t="str">
        <f aca="false">TRIM(H298)</f>
        <v>PR:Books SP:David2017106 $523</v>
      </c>
      <c r="J298" s="21" t="n">
        <f aca="false">LEN(I298)</f>
        <v>29</v>
      </c>
      <c r="K298" s="21" t="n">
        <f aca="false">CODE(RIGHT(I298,1))</f>
        <v>51</v>
      </c>
      <c r="L298" s="14" t="str">
        <f aca="false">SUBSTITUTE(I298,"PR:","")</f>
        <v>Books SP:David2017106 $523</v>
      </c>
      <c r="M298" s="14" t="str">
        <f aca="false">SUBSTITUTE(L298,"SP:","")</f>
        <v>Books David2017106 $523</v>
      </c>
      <c r="N298" s="15" t="str">
        <f aca="false">SUBSTITUTE(M298,"201710"," 201710")</f>
        <v>Books David 2017106 $523</v>
      </c>
      <c r="O298" s="21" t="n">
        <f aca="false">FIND(" ",N298)</f>
        <v>6</v>
      </c>
      <c r="P298" s="21" t="n">
        <f aca="false">FIND(" ",N298,O298+1)</f>
        <v>12</v>
      </c>
      <c r="Q298" s="21" t="n">
        <f aca="false">FIND(" ",N298,P298+1)</f>
        <v>20</v>
      </c>
      <c r="R298" s="26" t="str">
        <f aca="false">LEFT(N298,O298-1)</f>
        <v>Books</v>
      </c>
      <c r="S298" s="26" t="str">
        <f aca="false">MID(N298,O298+1,P298-O298-1)</f>
        <v>David</v>
      </c>
      <c r="T298" s="26" t="str">
        <f aca="false">MID(N298,P298+1,Q298-P298-1)</f>
        <v>2017106</v>
      </c>
      <c r="U298" s="26" t="n">
        <f aca="false">VALUE(MID(N298,Q298+2,90))</f>
        <v>523</v>
      </c>
      <c r="V298" s="27" t="n">
        <f aca="false">DATE(2017,10,MID(T298,7,2))</f>
        <v>43014</v>
      </c>
    </row>
    <row r="299" customFormat="false" ht="14.25" hidden="false" customHeight="false" outlineLevel="0" collapsed="false">
      <c r="A299" s="23" t="n">
        <f aca="false">A298+1</f>
        <v>295</v>
      </c>
      <c r="B299" s="14" t="s">
        <v>313</v>
      </c>
      <c r="C299" s="21" t="n">
        <f aca="false">CODE(RIGHT(B299,1))</f>
        <v>28</v>
      </c>
      <c r="D299" s="14" t="str">
        <f aca="false">CLEAN(B299)</f>
        <v>////PR:Clothing_SP:Carol20171018  $905     </v>
      </c>
      <c r="E299" s="21" t="n">
        <f aca="false">CODE(RIGHT(D299,1))</f>
        <v>32</v>
      </c>
      <c r="F299" s="14" t="str">
        <f aca="false">SUBSTITUTE(D299,_xlfn.UNICHAR(160)," ")</f>
        <v>////PR:Clothing_SP:Carol20171018  $905     </v>
      </c>
      <c r="G299" s="14" t="str">
        <f aca="false">SUBSTITUTE(F299,"/","")</f>
        <v>PR:Clothing_SP:Carol20171018  $905     </v>
      </c>
      <c r="H299" s="14" t="str">
        <f aca="false">SUBSTITUTE(G299,"_"," ")</f>
        <v>PR:Clothing SP:Carol20171018  $905     </v>
      </c>
      <c r="I299" s="14" t="str">
        <f aca="false">TRIM(H299)</f>
        <v>PR:Clothing SP:Carol20171018 $905</v>
      </c>
      <c r="J299" s="21" t="n">
        <f aca="false">LEN(I299)</f>
        <v>33</v>
      </c>
      <c r="K299" s="21" t="n">
        <f aca="false">CODE(RIGHT(I299,1))</f>
        <v>53</v>
      </c>
      <c r="L299" s="14" t="str">
        <f aca="false">SUBSTITUTE(I299,"PR:","")</f>
        <v>Clothing SP:Carol20171018 $905</v>
      </c>
      <c r="M299" s="14" t="str">
        <f aca="false">SUBSTITUTE(L299,"SP:","")</f>
        <v>Clothing Carol20171018 $905</v>
      </c>
      <c r="N299" s="15" t="str">
        <f aca="false">SUBSTITUTE(M299,"201710"," 201710")</f>
        <v>Clothing Carol 20171018 $905</v>
      </c>
      <c r="O299" s="21" t="n">
        <f aca="false">FIND(" ",N299)</f>
        <v>9</v>
      </c>
      <c r="P299" s="21" t="n">
        <f aca="false">FIND(" ",N299,O299+1)</f>
        <v>15</v>
      </c>
      <c r="Q299" s="21" t="n">
        <f aca="false">FIND(" ",N299,P299+1)</f>
        <v>24</v>
      </c>
      <c r="R299" s="26" t="str">
        <f aca="false">LEFT(N299,O299-1)</f>
        <v>Clothing</v>
      </c>
      <c r="S299" s="26" t="str">
        <f aca="false">MID(N299,O299+1,P299-O299-1)</f>
        <v>Carol</v>
      </c>
      <c r="T299" s="26" t="str">
        <f aca="false">MID(N299,P299+1,Q299-P299-1)</f>
        <v>20171018</v>
      </c>
      <c r="U299" s="26" t="n">
        <f aca="false">VALUE(MID(N299,Q299+2,90))</f>
        <v>905</v>
      </c>
      <c r="V299" s="27" t="n">
        <f aca="false">DATE(2017,10,MID(T299,7,2))</f>
        <v>43026</v>
      </c>
    </row>
    <row r="300" customFormat="false" ht="14.25" hidden="false" customHeight="false" outlineLevel="0" collapsed="false">
      <c r="A300" s="23" t="n">
        <f aca="false">A299+1</f>
        <v>296</v>
      </c>
      <c r="B300" s="14" t="s">
        <v>314</v>
      </c>
      <c r="C300" s="21" t="n">
        <f aca="false">CODE(RIGHT(B300,1))</f>
        <v>28</v>
      </c>
      <c r="D300" s="14" t="str">
        <f aca="false">CLEAN(B300)</f>
        <v>/PR:Clothing____SP:Alice20171021  $834   </v>
      </c>
      <c r="E300" s="21" t="n">
        <f aca="false">CODE(RIGHT(D300,1))</f>
        <v>32</v>
      </c>
      <c r="F300" s="14" t="str">
        <f aca="false">SUBSTITUTE(D300,_xlfn.UNICHAR(160)," ")</f>
        <v>/PR:Clothing____SP:Alice20171021  $834   </v>
      </c>
      <c r="G300" s="14" t="str">
        <f aca="false">SUBSTITUTE(F300,"/","")</f>
        <v>PR:Clothing____SP:Alice20171021  $834   </v>
      </c>
      <c r="H300" s="14" t="str">
        <f aca="false">SUBSTITUTE(G300,"_"," ")</f>
        <v>PR:Clothing    SP:Alice20171021  $834   </v>
      </c>
      <c r="I300" s="14" t="str">
        <f aca="false">TRIM(H300)</f>
        <v>PR:Clothing SP:Alice20171021 $834</v>
      </c>
      <c r="J300" s="21" t="n">
        <f aca="false">LEN(I300)</f>
        <v>33</v>
      </c>
      <c r="K300" s="21" t="n">
        <f aca="false">CODE(RIGHT(I300,1))</f>
        <v>52</v>
      </c>
      <c r="L300" s="14" t="str">
        <f aca="false">SUBSTITUTE(I300,"PR:","")</f>
        <v>Clothing SP:Alice20171021 $834</v>
      </c>
      <c r="M300" s="14" t="str">
        <f aca="false">SUBSTITUTE(L300,"SP:","")</f>
        <v>Clothing Alice20171021 $834</v>
      </c>
      <c r="N300" s="15" t="str">
        <f aca="false">SUBSTITUTE(M300,"201710"," 201710")</f>
        <v>Clothing Alice 20171021 $834</v>
      </c>
      <c r="O300" s="21" t="n">
        <f aca="false">FIND(" ",N300)</f>
        <v>9</v>
      </c>
      <c r="P300" s="21" t="n">
        <f aca="false">FIND(" ",N300,O300+1)</f>
        <v>15</v>
      </c>
      <c r="Q300" s="21" t="n">
        <f aca="false">FIND(" ",N300,P300+1)</f>
        <v>24</v>
      </c>
      <c r="R300" s="26" t="str">
        <f aca="false">LEFT(N300,O300-1)</f>
        <v>Clothing</v>
      </c>
      <c r="S300" s="26" t="str">
        <f aca="false">MID(N300,O300+1,P300-O300-1)</f>
        <v>Alice</v>
      </c>
      <c r="T300" s="26" t="str">
        <f aca="false">MID(N300,P300+1,Q300-P300-1)</f>
        <v>20171021</v>
      </c>
      <c r="U300" s="26" t="n">
        <f aca="false">VALUE(MID(N300,Q300+2,90))</f>
        <v>834</v>
      </c>
      <c r="V300" s="27" t="n">
        <f aca="false">DATE(2017,10,MID(T300,7,2))</f>
        <v>43029</v>
      </c>
    </row>
    <row r="301" customFormat="false" ht="14.25" hidden="false" customHeight="false" outlineLevel="0" collapsed="false">
      <c r="A301" s="23" t="n">
        <f aca="false">A300+1</f>
        <v>297</v>
      </c>
      <c r="B301" s="14" t="s">
        <v>315</v>
      </c>
      <c r="C301" s="21" t="n">
        <f aca="false">CODE(RIGHT(B301,1))</f>
        <v>31</v>
      </c>
      <c r="D301" s="14" t="str">
        <f aca="false">CLEAN(B301)</f>
        <v>////PR:Clothing__SP:Barney20171017   $1740   </v>
      </c>
      <c r="E301" s="21" t="n">
        <f aca="false">CODE(RIGHT(D301,1))</f>
        <v>32</v>
      </c>
      <c r="F301" s="14" t="str">
        <f aca="false">SUBSTITUTE(D301,_xlfn.UNICHAR(160)," ")</f>
        <v>////PR:Clothing__SP:Barney20171017   $1740   </v>
      </c>
      <c r="G301" s="14" t="str">
        <f aca="false">SUBSTITUTE(F301,"/","")</f>
        <v>PR:Clothing__SP:Barney20171017   $1740   </v>
      </c>
      <c r="H301" s="14" t="str">
        <f aca="false">SUBSTITUTE(G301,"_"," ")</f>
        <v>PR:Clothing  SP:Barney20171017   $1740   </v>
      </c>
      <c r="I301" s="14" t="str">
        <f aca="false">TRIM(H301)</f>
        <v>PR:Clothing SP:Barney20171017 $1740</v>
      </c>
      <c r="J301" s="21" t="n">
        <f aca="false">LEN(I301)</f>
        <v>35</v>
      </c>
      <c r="K301" s="21" t="n">
        <f aca="false">CODE(RIGHT(I301,1))</f>
        <v>48</v>
      </c>
      <c r="L301" s="14" t="str">
        <f aca="false">SUBSTITUTE(I301,"PR:","")</f>
        <v>Clothing SP:Barney20171017 $1740</v>
      </c>
      <c r="M301" s="14" t="str">
        <f aca="false">SUBSTITUTE(L301,"SP:","")</f>
        <v>Clothing Barney20171017 $1740</v>
      </c>
      <c r="N301" s="15" t="str">
        <f aca="false">SUBSTITUTE(M301,"201710"," 201710")</f>
        <v>Clothing Barney 20171017 $1740</v>
      </c>
      <c r="O301" s="21" t="n">
        <f aca="false">FIND(" ",N301)</f>
        <v>9</v>
      </c>
      <c r="P301" s="21" t="n">
        <f aca="false">FIND(" ",N301,O301+1)</f>
        <v>16</v>
      </c>
      <c r="Q301" s="21" t="n">
        <f aca="false">FIND(" ",N301,P301+1)</f>
        <v>25</v>
      </c>
      <c r="R301" s="26" t="str">
        <f aca="false">LEFT(N301,O301-1)</f>
        <v>Clothing</v>
      </c>
      <c r="S301" s="26" t="str">
        <f aca="false">MID(N301,O301+1,P301-O301-1)</f>
        <v>Barney</v>
      </c>
      <c r="T301" s="26" t="str">
        <f aca="false">MID(N301,P301+1,Q301-P301-1)</f>
        <v>20171017</v>
      </c>
      <c r="U301" s="26" t="n">
        <f aca="false">VALUE(MID(N301,Q301+2,90))</f>
        <v>1740</v>
      </c>
      <c r="V301" s="27" t="n">
        <f aca="false">DATE(2017,10,MID(T301,7,2))</f>
        <v>43025</v>
      </c>
    </row>
    <row r="302" customFormat="false" ht="14.25" hidden="false" customHeight="false" outlineLevel="0" collapsed="false">
      <c r="A302" s="23" t="n">
        <f aca="false">A301+1</f>
        <v>298</v>
      </c>
      <c r="B302" s="14" t="s">
        <v>316</v>
      </c>
      <c r="C302" s="21" t="n">
        <f aca="false">CODE(RIGHT(B302,1))</f>
        <v>29</v>
      </c>
      <c r="D302" s="14" t="str">
        <f aca="false">CLEAN(B302)</f>
        <v>//PR:Music_SP:Carol20171013 $1143   </v>
      </c>
      <c r="E302" s="21" t="n">
        <f aca="false">CODE(RIGHT(D302,1))</f>
        <v>32</v>
      </c>
      <c r="F302" s="14" t="str">
        <f aca="false">SUBSTITUTE(D302,_xlfn.UNICHAR(160)," ")</f>
        <v>//PR:Music_SP:Carol20171013 $1143   </v>
      </c>
      <c r="G302" s="14" t="str">
        <f aca="false">SUBSTITUTE(F302,"/","")</f>
        <v>PR:Music_SP:Carol20171013 $1143   </v>
      </c>
      <c r="H302" s="14" t="str">
        <f aca="false">SUBSTITUTE(G302,"_"," ")</f>
        <v>PR:Music SP:Carol20171013 $1143   </v>
      </c>
      <c r="I302" s="14" t="str">
        <f aca="false">TRIM(H302)</f>
        <v>PR:Music SP:Carol20171013 $1143</v>
      </c>
      <c r="J302" s="21" t="n">
        <f aca="false">LEN(I302)</f>
        <v>31</v>
      </c>
      <c r="K302" s="21" t="n">
        <f aca="false">CODE(RIGHT(I302,1))</f>
        <v>51</v>
      </c>
      <c r="L302" s="14" t="str">
        <f aca="false">SUBSTITUTE(I302,"PR:","")</f>
        <v>Music SP:Carol20171013 $1143</v>
      </c>
      <c r="M302" s="14" t="str">
        <f aca="false">SUBSTITUTE(L302,"SP:","")</f>
        <v>Music Carol20171013 $1143</v>
      </c>
      <c r="N302" s="15" t="str">
        <f aca="false">SUBSTITUTE(M302,"201710"," 201710")</f>
        <v>Music Carol 20171013 $1143</v>
      </c>
      <c r="O302" s="21" t="n">
        <f aca="false">FIND(" ",N302)</f>
        <v>6</v>
      </c>
      <c r="P302" s="21" t="n">
        <f aca="false">FIND(" ",N302,O302+1)</f>
        <v>12</v>
      </c>
      <c r="Q302" s="21" t="n">
        <f aca="false">FIND(" ",N302,P302+1)</f>
        <v>21</v>
      </c>
      <c r="R302" s="26" t="str">
        <f aca="false">LEFT(N302,O302-1)</f>
        <v>Music</v>
      </c>
      <c r="S302" s="26" t="str">
        <f aca="false">MID(N302,O302+1,P302-O302-1)</f>
        <v>Carol</v>
      </c>
      <c r="T302" s="26" t="str">
        <f aca="false">MID(N302,P302+1,Q302-P302-1)</f>
        <v>20171013</v>
      </c>
      <c r="U302" s="26" t="n">
        <f aca="false">VALUE(MID(N302,Q302+2,90))</f>
        <v>1143</v>
      </c>
      <c r="V302" s="27" t="n">
        <f aca="false">DATE(2017,10,MID(T302,7,2))</f>
        <v>43021</v>
      </c>
    </row>
    <row r="303" customFormat="false" ht="14.25" hidden="false" customHeight="false" outlineLevel="0" collapsed="false">
      <c r="A303" s="23" t="n">
        <f aca="false">A302+1</f>
        <v>299</v>
      </c>
      <c r="B303" s="14" t="s">
        <v>317</v>
      </c>
      <c r="C303" s="21" t="n">
        <f aca="false">CODE(RIGHT(B303,1))</f>
        <v>31</v>
      </c>
      <c r="D303" s="14" t="str">
        <f aca="false">CLEAN(B303)</f>
        <v>/////PR:Clothing__SP:Barney20171019    $0 </v>
      </c>
      <c r="E303" s="21" t="n">
        <f aca="false">CODE(RIGHT(D303,1))</f>
        <v>32</v>
      </c>
      <c r="F303" s="14" t="str">
        <f aca="false">SUBSTITUTE(D303,_xlfn.UNICHAR(160)," ")</f>
        <v>/////PR:Clothing__SP:Barney20171019    $0 </v>
      </c>
      <c r="G303" s="14" t="str">
        <f aca="false">SUBSTITUTE(F303,"/","")</f>
        <v>PR:Clothing__SP:Barney20171019    $0 </v>
      </c>
      <c r="H303" s="14" t="str">
        <f aca="false">SUBSTITUTE(G303,"_"," ")</f>
        <v>PR:Clothing  SP:Barney20171019    $0 </v>
      </c>
      <c r="I303" s="14" t="str">
        <f aca="false">TRIM(H303)</f>
        <v>PR:Clothing SP:Barney20171019 $0</v>
      </c>
      <c r="J303" s="21" t="n">
        <f aca="false">LEN(I303)</f>
        <v>32</v>
      </c>
      <c r="K303" s="21" t="n">
        <f aca="false">CODE(RIGHT(I303,1))</f>
        <v>48</v>
      </c>
      <c r="L303" s="14" t="str">
        <f aca="false">SUBSTITUTE(I303,"PR:","")</f>
        <v>Clothing SP:Barney20171019 $0</v>
      </c>
      <c r="M303" s="14" t="str">
        <f aca="false">SUBSTITUTE(L303,"SP:","")</f>
        <v>Clothing Barney20171019 $0</v>
      </c>
      <c r="N303" s="15" t="str">
        <f aca="false">SUBSTITUTE(M303,"201710"," 201710")</f>
        <v>Clothing Barney 20171019 $0</v>
      </c>
      <c r="O303" s="21" t="n">
        <f aca="false">FIND(" ",N303)</f>
        <v>9</v>
      </c>
      <c r="P303" s="21" t="n">
        <f aca="false">FIND(" ",N303,O303+1)</f>
        <v>16</v>
      </c>
      <c r="Q303" s="21" t="n">
        <f aca="false">FIND(" ",N303,P303+1)</f>
        <v>25</v>
      </c>
      <c r="R303" s="26" t="str">
        <f aca="false">LEFT(N303,O303-1)</f>
        <v>Clothing</v>
      </c>
      <c r="S303" s="26" t="str">
        <f aca="false">MID(N303,O303+1,P303-O303-1)</f>
        <v>Barney</v>
      </c>
      <c r="T303" s="26" t="str">
        <f aca="false">MID(N303,P303+1,Q303-P303-1)</f>
        <v>20171019</v>
      </c>
      <c r="U303" s="26" t="n">
        <f aca="false">VALUE(MID(N303,Q303+2,90))</f>
        <v>0</v>
      </c>
      <c r="V303" s="27" t="n">
        <f aca="false">DATE(2017,10,MID(T303,7,2))</f>
        <v>43027</v>
      </c>
    </row>
    <row r="304" customFormat="false" ht="14.25" hidden="false" customHeight="false" outlineLevel="0" collapsed="false">
      <c r="A304" s="23" t="n">
        <f aca="false">A303+1</f>
        <v>300</v>
      </c>
      <c r="B304" s="14" t="s">
        <v>318</v>
      </c>
      <c r="C304" s="21" t="n">
        <f aca="false">CODE(RIGHT(B304,1))</f>
        <v>29</v>
      </c>
      <c r="D304" s="14" t="str">
        <f aca="false">CLEAN(B304)</f>
        <v>//PR:Music__SP:Barney20171023  $984     </v>
      </c>
      <c r="E304" s="21" t="n">
        <f aca="false">CODE(RIGHT(D304,1))</f>
        <v>32</v>
      </c>
      <c r="F304" s="14" t="str">
        <f aca="false">SUBSTITUTE(D304,_xlfn.UNICHAR(160)," ")</f>
        <v>//PR:Music__SP:Barney20171023  $984     </v>
      </c>
      <c r="G304" s="14" t="str">
        <f aca="false">SUBSTITUTE(F304,"/","")</f>
        <v>PR:Music__SP:Barney20171023  $984     </v>
      </c>
      <c r="H304" s="14" t="str">
        <f aca="false">SUBSTITUTE(G304,"_"," ")</f>
        <v>PR:Music  SP:Barney20171023  $984     </v>
      </c>
      <c r="I304" s="14" t="str">
        <f aca="false">TRIM(H304)</f>
        <v>PR:Music SP:Barney20171023 $984</v>
      </c>
      <c r="J304" s="21" t="n">
        <f aca="false">LEN(I304)</f>
        <v>31</v>
      </c>
      <c r="K304" s="21" t="n">
        <f aca="false">CODE(RIGHT(I304,1))</f>
        <v>52</v>
      </c>
      <c r="L304" s="14" t="str">
        <f aca="false">SUBSTITUTE(I304,"PR:","")</f>
        <v>Music SP:Barney20171023 $984</v>
      </c>
      <c r="M304" s="14" t="str">
        <f aca="false">SUBSTITUTE(L304,"SP:","")</f>
        <v>Music Barney20171023 $984</v>
      </c>
      <c r="N304" s="15" t="str">
        <f aca="false">SUBSTITUTE(M304,"201710"," 201710")</f>
        <v>Music Barney 20171023 $984</v>
      </c>
      <c r="O304" s="21" t="n">
        <f aca="false">FIND(" ",N304)</f>
        <v>6</v>
      </c>
      <c r="P304" s="21" t="n">
        <f aca="false">FIND(" ",N304,O304+1)</f>
        <v>13</v>
      </c>
      <c r="Q304" s="21" t="n">
        <f aca="false">FIND(" ",N304,P304+1)</f>
        <v>22</v>
      </c>
      <c r="R304" s="26" t="str">
        <f aca="false">LEFT(N304,O304-1)</f>
        <v>Music</v>
      </c>
      <c r="S304" s="26" t="str">
        <f aca="false">MID(N304,O304+1,P304-O304-1)</f>
        <v>Barney</v>
      </c>
      <c r="T304" s="26" t="str">
        <f aca="false">MID(N304,P304+1,Q304-P304-1)</f>
        <v>20171023</v>
      </c>
      <c r="U304" s="26" t="n">
        <f aca="false">VALUE(MID(N304,Q304+2,90))</f>
        <v>984</v>
      </c>
      <c r="V304" s="27" t="n">
        <f aca="false">DATE(2017,10,MID(T304,7,2))</f>
        <v>43031</v>
      </c>
    </row>
    <row r="305" customFormat="false" ht="14.25" hidden="false" customHeight="false" outlineLevel="0" collapsed="false">
      <c r="A305" s="23" t="n">
        <f aca="false">A304+1</f>
        <v>301</v>
      </c>
      <c r="B305" s="14" t="s">
        <v>319</v>
      </c>
      <c r="C305" s="21" t="n">
        <f aca="false">CODE(RIGHT(B305,1))</f>
        <v>31</v>
      </c>
      <c r="D305" s="14" t="str">
        <f aca="false">CLEAN(B305)</f>
        <v>//PR:Books__SP:Barney20171019 $604    </v>
      </c>
      <c r="E305" s="21" t="n">
        <f aca="false">CODE(RIGHT(D305,1))</f>
        <v>32</v>
      </c>
      <c r="F305" s="14" t="str">
        <f aca="false">SUBSTITUTE(D305,_xlfn.UNICHAR(160)," ")</f>
        <v>//PR:Books__SP:Barney20171019 $604    </v>
      </c>
      <c r="G305" s="14" t="str">
        <f aca="false">SUBSTITUTE(F305,"/","")</f>
        <v>PR:Books__SP:Barney20171019 $604    </v>
      </c>
      <c r="H305" s="14" t="str">
        <f aca="false">SUBSTITUTE(G305,"_"," ")</f>
        <v>PR:Books  SP:Barney20171019 $604    </v>
      </c>
      <c r="I305" s="14" t="str">
        <f aca="false">TRIM(H305)</f>
        <v>PR:Books SP:Barney20171019 $604</v>
      </c>
      <c r="J305" s="21" t="n">
        <f aca="false">LEN(I305)</f>
        <v>31</v>
      </c>
      <c r="K305" s="21" t="n">
        <f aca="false">CODE(RIGHT(I305,1))</f>
        <v>52</v>
      </c>
      <c r="L305" s="14" t="str">
        <f aca="false">SUBSTITUTE(I305,"PR:","")</f>
        <v>Books SP:Barney20171019 $604</v>
      </c>
      <c r="M305" s="14" t="str">
        <f aca="false">SUBSTITUTE(L305,"SP:","")</f>
        <v>Books Barney20171019 $604</v>
      </c>
      <c r="N305" s="15" t="str">
        <f aca="false">SUBSTITUTE(M305,"201710"," 201710")</f>
        <v>Books Barney 20171019 $604</v>
      </c>
      <c r="O305" s="21" t="n">
        <f aca="false">FIND(" ",N305)</f>
        <v>6</v>
      </c>
      <c r="P305" s="21" t="n">
        <f aca="false">FIND(" ",N305,O305+1)</f>
        <v>13</v>
      </c>
      <c r="Q305" s="21" t="n">
        <f aca="false">FIND(" ",N305,P305+1)</f>
        <v>22</v>
      </c>
      <c r="R305" s="26" t="str">
        <f aca="false">LEFT(N305,O305-1)</f>
        <v>Books</v>
      </c>
      <c r="S305" s="26" t="str">
        <f aca="false">MID(N305,O305+1,P305-O305-1)</f>
        <v>Barney</v>
      </c>
      <c r="T305" s="26" t="str">
        <f aca="false">MID(N305,P305+1,Q305-P305-1)</f>
        <v>20171019</v>
      </c>
      <c r="U305" s="26" t="n">
        <f aca="false">VALUE(MID(N305,Q305+2,90))</f>
        <v>604</v>
      </c>
      <c r="V305" s="27" t="n">
        <f aca="false">DATE(2017,10,MID(T305,7,2))</f>
        <v>43027</v>
      </c>
    </row>
    <row r="306" customFormat="false" ht="14.25" hidden="false" customHeight="false" outlineLevel="0" collapsed="false">
      <c r="A306" s="23" t="n">
        <f aca="false">A305+1</f>
        <v>302</v>
      </c>
      <c r="B306" s="14" t="s">
        <v>320</v>
      </c>
      <c r="C306" s="21" t="n">
        <f aca="false">CODE(RIGHT(B306,1))</f>
        <v>29</v>
      </c>
      <c r="D306" s="14" t="str">
        <f aca="false">CLEAN(B306)</f>
        <v>//PR:Games_____SP:Barney20171013   $1349    </v>
      </c>
      <c r="E306" s="21" t="n">
        <f aca="false">CODE(RIGHT(D306,1))</f>
        <v>32</v>
      </c>
      <c r="F306" s="14" t="str">
        <f aca="false">SUBSTITUTE(D306,_xlfn.UNICHAR(160)," ")</f>
        <v>//PR:Games_____SP:Barney20171013   $1349    </v>
      </c>
      <c r="G306" s="14" t="str">
        <f aca="false">SUBSTITUTE(F306,"/","")</f>
        <v>PR:Games_____SP:Barney20171013   $1349    </v>
      </c>
      <c r="H306" s="14" t="str">
        <f aca="false">SUBSTITUTE(G306,"_"," ")</f>
        <v>PR:Games     SP:Barney20171013   $1349    </v>
      </c>
      <c r="I306" s="14" t="str">
        <f aca="false">TRIM(H306)</f>
        <v>PR:Games SP:Barney20171013 $1349</v>
      </c>
      <c r="J306" s="21" t="n">
        <f aca="false">LEN(I306)</f>
        <v>32</v>
      </c>
      <c r="K306" s="21" t="n">
        <f aca="false">CODE(RIGHT(I306,1))</f>
        <v>57</v>
      </c>
      <c r="L306" s="14" t="str">
        <f aca="false">SUBSTITUTE(I306,"PR:","")</f>
        <v>Games SP:Barney20171013 $1349</v>
      </c>
      <c r="M306" s="14" t="str">
        <f aca="false">SUBSTITUTE(L306,"SP:","")</f>
        <v>Games Barney20171013 $1349</v>
      </c>
      <c r="N306" s="15" t="str">
        <f aca="false">SUBSTITUTE(M306,"201710"," 201710")</f>
        <v>Games Barney 20171013 $1349</v>
      </c>
      <c r="O306" s="21" t="n">
        <f aca="false">FIND(" ",N306)</f>
        <v>6</v>
      </c>
      <c r="P306" s="21" t="n">
        <f aca="false">FIND(" ",N306,O306+1)</f>
        <v>13</v>
      </c>
      <c r="Q306" s="21" t="n">
        <f aca="false">FIND(" ",N306,P306+1)</f>
        <v>22</v>
      </c>
      <c r="R306" s="26" t="str">
        <f aca="false">LEFT(N306,O306-1)</f>
        <v>Games</v>
      </c>
      <c r="S306" s="26" t="str">
        <f aca="false">MID(N306,O306+1,P306-O306-1)</f>
        <v>Barney</v>
      </c>
      <c r="T306" s="26" t="str">
        <f aca="false">MID(N306,P306+1,Q306-P306-1)</f>
        <v>20171013</v>
      </c>
      <c r="U306" s="26" t="n">
        <f aca="false">VALUE(MID(N306,Q306+2,90))</f>
        <v>1349</v>
      </c>
      <c r="V306" s="27" t="n">
        <f aca="false">DATE(2017,10,MID(T306,7,2))</f>
        <v>43021</v>
      </c>
    </row>
    <row r="307" customFormat="false" ht="14.25" hidden="false" customHeight="false" outlineLevel="0" collapsed="false">
      <c r="A307" s="23" t="n">
        <f aca="false">A306+1</f>
        <v>303</v>
      </c>
      <c r="B307" s="14" t="s">
        <v>321</v>
      </c>
      <c r="C307" s="21" t="n">
        <f aca="false">CODE(RIGHT(B307,1))</f>
        <v>30</v>
      </c>
      <c r="D307" s="14" t="str">
        <f aca="false">CLEAN(B307)</f>
        <v>//PR:Books_SP:David20171015  $852  </v>
      </c>
      <c r="E307" s="21" t="n">
        <f aca="false">CODE(RIGHT(D307,1))</f>
        <v>32</v>
      </c>
      <c r="F307" s="14" t="str">
        <f aca="false">SUBSTITUTE(D307,_xlfn.UNICHAR(160)," ")</f>
        <v>//PR:Books_SP:David20171015  $852  </v>
      </c>
      <c r="G307" s="14" t="str">
        <f aca="false">SUBSTITUTE(F307,"/","")</f>
        <v>PR:Books_SP:David20171015  $852  </v>
      </c>
      <c r="H307" s="14" t="str">
        <f aca="false">SUBSTITUTE(G307,"_"," ")</f>
        <v>PR:Books SP:David20171015  $852  </v>
      </c>
      <c r="I307" s="14" t="str">
        <f aca="false">TRIM(H307)</f>
        <v>PR:Books SP:David20171015 $852</v>
      </c>
      <c r="J307" s="21" t="n">
        <f aca="false">LEN(I307)</f>
        <v>30</v>
      </c>
      <c r="K307" s="21" t="n">
        <f aca="false">CODE(RIGHT(I307,1))</f>
        <v>50</v>
      </c>
      <c r="L307" s="14" t="str">
        <f aca="false">SUBSTITUTE(I307,"PR:","")</f>
        <v>Books SP:David20171015 $852</v>
      </c>
      <c r="M307" s="14" t="str">
        <f aca="false">SUBSTITUTE(L307,"SP:","")</f>
        <v>Books David20171015 $852</v>
      </c>
      <c r="N307" s="15" t="str">
        <f aca="false">SUBSTITUTE(M307,"201710"," 201710")</f>
        <v>Books David 20171015 $852</v>
      </c>
      <c r="O307" s="21" t="n">
        <f aca="false">FIND(" ",N307)</f>
        <v>6</v>
      </c>
      <c r="P307" s="21" t="n">
        <f aca="false">FIND(" ",N307,O307+1)</f>
        <v>12</v>
      </c>
      <c r="Q307" s="21" t="n">
        <f aca="false">FIND(" ",N307,P307+1)</f>
        <v>21</v>
      </c>
      <c r="R307" s="26" t="str">
        <f aca="false">LEFT(N307,O307-1)</f>
        <v>Books</v>
      </c>
      <c r="S307" s="26" t="str">
        <f aca="false">MID(N307,O307+1,P307-O307-1)</f>
        <v>David</v>
      </c>
      <c r="T307" s="26" t="str">
        <f aca="false">MID(N307,P307+1,Q307-P307-1)</f>
        <v>20171015</v>
      </c>
      <c r="U307" s="26" t="n">
        <f aca="false">VALUE(MID(N307,Q307+2,90))</f>
        <v>852</v>
      </c>
      <c r="V307" s="27" t="n">
        <f aca="false">DATE(2017,10,MID(T307,7,2))</f>
        <v>43023</v>
      </c>
    </row>
    <row r="308" customFormat="false" ht="14.25" hidden="false" customHeight="false" outlineLevel="0" collapsed="false">
      <c r="A308" s="23" t="n">
        <f aca="false">A307+1</f>
        <v>304</v>
      </c>
      <c r="B308" s="14" t="s">
        <v>322</v>
      </c>
      <c r="C308" s="21" t="n">
        <f aca="false">CODE(RIGHT(B308,1))</f>
        <v>29</v>
      </c>
      <c r="D308" s="14" t="str">
        <f aca="false">CLEAN(B308)</f>
        <v>/PR:Books__SP:Barney20171014 $621     </v>
      </c>
      <c r="E308" s="21" t="n">
        <f aca="false">CODE(RIGHT(D308,1))</f>
        <v>32</v>
      </c>
      <c r="F308" s="14" t="str">
        <f aca="false">SUBSTITUTE(D308,_xlfn.UNICHAR(160)," ")</f>
        <v>/PR:Books__SP:Barney20171014 $621     </v>
      </c>
      <c r="G308" s="14" t="str">
        <f aca="false">SUBSTITUTE(F308,"/","")</f>
        <v>PR:Books__SP:Barney20171014 $621     </v>
      </c>
      <c r="H308" s="14" t="str">
        <f aca="false">SUBSTITUTE(G308,"_"," ")</f>
        <v>PR:Books  SP:Barney20171014 $621     </v>
      </c>
      <c r="I308" s="14" t="str">
        <f aca="false">TRIM(H308)</f>
        <v>PR:Books SP:Barney20171014 $621</v>
      </c>
      <c r="J308" s="21" t="n">
        <f aca="false">LEN(I308)</f>
        <v>31</v>
      </c>
      <c r="K308" s="21" t="n">
        <f aca="false">CODE(RIGHT(I308,1))</f>
        <v>49</v>
      </c>
      <c r="L308" s="14" t="str">
        <f aca="false">SUBSTITUTE(I308,"PR:","")</f>
        <v>Books SP:Barney20171014 $621</v>
      </c>
      <c r="M308" s="14" t="str">
        <f aca="false">SUBSTITUTE(L308,"SP:","")</f>
        <v>Books Barney20171014 $621</v>
      </c>
      <c r="N308" s="15" t="str">
        <f aca="false">SUBSTITUTE(M308,"201710"," 201710")</f>
        <v>Books Barney 20171014 $621</v>
      </c>
      <c r="O308" s="21" t="n">
        <f aca="false">FIND(" ",N308)</f>
        <v>6</v>
      </c>
      <c r="P308" s="21" t="n">
        <f aca="false">FIND(" ",N308,O308+1)</f>
        <v>13</v>
      </c>
      <c r="Q308" s="21" t="n">
        <f aca="false">FIND(" ",N308,P308+1)</f>
        <v>22</v>
      </c>
      <c r="R308" s="26" t="str">
        <f aca="false">LEFT(N308,O308-1)</f>
        <v>Books</v>
      </c>
      <c r="S308" s="26" t="str">
        <f aca="false">MID(N308,O308+1,P308-O308-1)</f>
        <v>Barney</v>
      </c>
      <c r="T308" s="26" t="str">
        <f aca="false">MID(N308,P308+1,Q308-P308-1)</f>
        <v>20171014</v>
      </c>
      <c r="U308" s="26" t="n">
        <f aca="false">VALUE(MID(N308,Q308+2,90))</f>
        <v>621</v>
      </c>
      <c r="V308" s="27" t="n">
        <f aca="false">DATE(2017,10,MID(T308,7,2))</f>
        <v>43022</v>
      </c>
    </row>
    <row r="309" customFormat="false" ht="14.25" hidden="false" customHeight="false" outlineLevel="0" collapsed="false">
      <c r="A309" s="23" t="n">
        <f aca="false">A308+1</f>
        <v>305</v>
      </c>
      <c r="B309" s="14" t="s">
        <v>323</v>
      </c>
      <c r="C309" s="21" t="n">
        <f aca="false">CODE(RIGHT(B309,1))</f>
        <v>28</v>
      </c>
      <c r="D309" s="14" t="str">
        <f aca="false">CLEAN(B309)</f>
        <v>//PR:Books____SP:Alice20171026   $950  </v>
      </c>
      <c r="E309" s="21" t="n">
        <f aca="false">CODE(RIGHT(D309,1))</f>
        <v>32</v>
      </c>
      <c r="F309" s="14" t="str">
        <f aca="false">SUBSTITUTE(D309,_xlfn.UNICHAR(160)," ")</f>
        <v>//PR:Books____SP:Alice20171026   $950  </v>
      </c>
      <c r="G309" s="14" t="str">
        <f aca="false">SUBSTITUTE(F309,"/","")</f>
        <v>PR:Books____SP:Alice20171026   $950  </v>
      </c>
      <c r="H309" s="14" t="str">
        <f aca="false">SUBSTITUTE(G309,"_"," ")</f>
        <v>PR:Books    SP:Alice20171026   $950  </v>
      </c>
      <c r="I309" s="14" t="str">
        <f aca="false">TRIM(H309)</f>
        <v>PR:Books SP:Alice20171026 $950</v>
      </c>
      <c r="J309" s="21" t="n">
        <f aca="false">LEN(I309)</f>
        <v>30</v>
      </c>
      <c r="K309" s="21" t="n">
        <f aca="false">CODE(RIGHT(I309,1))</f>
        <v>48</v>
      </c>
      <c r="L309" s="14" t="str">
        <f aca="false">SUBSTITUTE(I309,"PR:","")</f>
        <v>Books SP:Alice20171026 $950</v>
      </c>
      <c r="M309" s="14" t="str">
        <f aca="false">SUBSTITUTE(L309,"SP:","")</f>
        <v>Books Alice20171026 $950</v>
      </c>
      <c r="N309" s="15" t="str">
        <f aca="false">SUBSTITUTE(M309,"201710"," 201710")</f>
        <v>Books Alice 20171026 $950</v>
      </c>
      <c r="O309" s="21" t="n">
        <f aca="false">FIND(" ",N309)</f>
        <v>6</v>
      </c>
      <c r="P309" s="21" t="n">
        <f aca="false">FIND(" ",N309,O309+1)</f>
        <v>12</v>
      </c>
      <c r="Q309" s="21" t="n">
        <f aca="false">FIND(" ",N309,P309+1)</f>
        <v>21</v>
      </c>
      <c r="R309" s="26" t="str">
        <f aca="false">LEFT(N309,O309-1)</f>
        <v>Books</v>
      </c>
      <c r="S309" s="26" t="str">
        <f aca="false">MID(N309,O309+1,P309-O309-1)</f>
        <v>Alice</v>
      </c>
      <c r="T309" s="26" t="str">
        <f aca="false">MID(N309,P309+1,Q309-P309-1)</f>
        <v>20171026</v>
      </c>
      <c r="U309" s="26" t="n">
        <f aca="false">VALUE(MID(N309,Q309+2,90))</f>
        <v>950</v>
      </c>
      <c r="V309" s="27" t="n">
        <f aca="false">DATE(2017,10,MID(T309,7,2))</f>
        <v>43034</v>
      </c>
    </row>
    <row r="310" customFormat="false" ht="14.25" hidden="false" customHeight="false" outlineLevel="0" collapsed="false">
      <c r="A310" s="23" t="n">
        <f aca="false">A309+1</f>
        <v>306</v>
      </c>
      <c r="B310" s="14" t="s">
        <v>324</v>
      </c>
      <c r="C310" s="21" t="n">
        <f aca="false">CODE(RIGHT(B310,1))</f>
        <v>28</v>
      </c>
      <c r="D310" s="14" t="str">
        <f aca="false">CLEAN(B310)</f>
        <v>////PR:Books_SP:Carol20171020 $713  </v>
      </c>
      <c r="E310" s="21" t="n">
        <f aca="false">CODE(RIGHT(D310,1))</f>
        <v>32</v>
      </c>
      <c r="F310" s="14" t="str">
        <f aca="false">SUBSTITUTE(D310,_xlfn.UNICHAR(160)," ")</f>
        <v>////PR:Books_SP:Carol20171020 $713  </v>
      </c>
      <c r="G310" s="14" t="str">
        <f aca="false">SUBSTITUTE(F310,"/","")</f>
        <v>PR:Books_SP:Carol20171020 $713  </v>
      </c>
      <c r="H310" s="14" t="str">
        <f aca="false">SUBSTITUTE(G310,"_"," ")</f>
        <v>PR:Books SP:Carol20171020 $713  </v>
      </c>
      <c r="I310" s="14" t="str">
        <f aca="false">TRIM(H310)</f>
        <v>PR:Books SP:Carol20171020 $713</v>
      </c>
      <c r="J310" s="21" t="n">
        <f aca="false">LEN(I310)</f>
        <v>30</v>
      </c>
      <c r="K310" s="21" t="n">
        <f aca="false">CODE(RIGHT(I310,1))</f>
        <v>51</v>
      </c>
      <c r="L310" s="14" t="str">
        <f aca="false">SUBSTITUTE(I310,"PR:","")</f>
        <v>Books SP:Carol20171020 $713</v>
      </c>
      <c r="M310" s="14" t="str">
        <f aca="false">SUBSTITUTE(L310,"SP:","")</f>
        <v>Books Carol20171020 $713</v>
      </c>
      <c r="N310" s="15" t="str">
        <f aca="false">SUBSTITUTE(M310,"201710"," 201710")</f>
        <v>Books Carol 20171020 $713</v>
      </c>
      <c r="O310" s="21" t="n">
        <f aca="false">FIND(" ",N310)</f>
        <v>6</v>
      </c>
      <c r="P310" s="21" t="n">
        <f aca="false">FIND(" ",N310,O310+1)</f>
        <v>12</v>
      </c>
      <c r="Q310" s="21" t="n">
        <f aca="false">FIND(" ",N310,P310+1)</f>
        <v>21</v>
      </c>
      <c r="R310" s="26" t="str">
        <f aca="false">LEFT(N310,O310-1)</f>
        <v>Books</v>
      </c>
      <c r="S310" s="26" t="str">
        <f aca="false">MID(N310,O310+1,P310-O310-1)</f>
        <v>Carol</v>
      </c>
      <c r="T310" s="26" t="str">
        <f aca="false">MID(N310,P310+1,Q310-P310-1)</f>
        <v>20171020</v>
      </c>
      <c r="U310" s="26" t="n">
        <f aca="false">VALUE(MID(N310,Q310+2,90))</f>
        <v>713</v>
      </c>
      <c r="V310" s="27" t="n">
        <f aca="false">DATE(2017,10,MID(T310,7,2))</f>
        <v>43028</v>
      </c>
    </row>
    <row r="311" customFormat="false" ht="14.25" hidden="false" customHeight="false" outlineLevel="0" collapsed="false">
      <c r="A311" s="23" t="n">
        <f aca="false">A310+1</f>
        <v>307</v>
      </c>
      <c r="B311" s="14" t="s">
        <v>325</v>
      </c>
      <c r="C311" s="21" t="n">
        <f aca="false">CODE(RIGHT(B311,1))</f>
        <v>29</v>
      </c>
      <c r="D311" s="14" t="str">
        <f aca="false">CLEAN(B311)</f>
        <v>///PR:Clothing___SP:Barney2017105    $999 </v>
      </c>
      <c r="E311" s="21" t="n">
        <f aca="false">CODE(RIGHT(D311,1))</f>
        <v>32</v>
      </c>
      <c r="F311" s="14" t="str">
        <f aca="false">SUBSTITUTE(D311,_xlfn.UNICHAR(160)," ")</f>
        <v>///PR:Clothing___SP:Barney2017105    $999 </v>
      </c>
      <c r="G311" s="14" t="str">
        <f aca="false">SUBSTITUTE(F311,"/","")</f>
        <v>PR:Clothing___SP:Barney2017105    $999 </v>
      </c>
      <c r="H311" s="14" t="str">
        <f aca="false">SUBSTITUTE(G311,"_"," ")</f>
        <v>PR:Clothing   SP:Barney2017105    $999 </v>
      </c>
      <c r="I311" s="14" t="str">
        <f aca="false">TRIM(H311)</f>
        <v>PR:Clothing SP:Barney2017105 $999</v>
      </c>
      <c r="J311" s="21" t="n">
        <f aca="false">LEN(I311)</f>
        <v>33</v>
      </c>
      <c r="K311" s="21" t="n">
        <f aca="false">CODE(RIGHT(I311,1))</f>
        <v>57</v>
      </c>
      <c r="L311" s="14" t="str">
        <f aca="false">SUBSTITUTE(I311,"PR:","")</f>
        <v>Clothing SP:Barney2017105 $999</v>
      </c>
      <c r="M311" s="14" t="str">
        <f aca="false">SUBSTITUTE(L311,"SP:","")</f>
        <v>Clothing Barney2017105 $999</v>
      </c>
      <c r="N311" s="15" t="str">
        <f aca="false">SUBSTITUTE(M311,"201710"," 201710")</f>
        <v>Clothing Barney 2017105 $999</v>
      </c>
      <c r="O311" s="21" t="n">
        <f aca="false">FIND(" ",N311)</f>
        <v>9</v>
      </c>
      <c r="P311" s="21" t="n">
        <f aca="false">FIND(" ",N311,O311+1)</f>
        <v>16</v>
      </c>
      <c r="Q311" s="21" t="n">
        <f aca="false">FIND(" ",N311,P311+1)</f>
        <v>24</v>
      </c>
      <c r="R311" s="26" t="str">
        <f aca="false">LEFT(N311,O311-1)</f>
        <v>Clothing</v>
      </c>
      <c r="S311" s="26" t="str">
        <f aca="false">MID(N311,O311+1,P311-O311-1)</f>
        <v>Barney</v>
      </c>
      <c r="T311" s="26" t="str">
        <f aca="false">MID(N311,P311+1,Q311-P311-1)</f>
        <v>2017105</v>
      </c>
      <c r="U311" s="26" t="n">
        <f aca="false">VALUE(MID(N311,Q311+2,90))</f>
        <v>999</v>
      </c>
      <c r="V311" s="27" t="n">
        <f aca="false">DATE(2017,10,MID(T311,7,2))</f>
        <v>43013</v>
      </c>
    </row>
    <row r="312" customFormat="false" ht="14.25" hidden="false" customHeight="false" outlineLevel="0" collapsed="false">
      <c r="A312" s="23" t="n">
        <f aca="false">A311+1</f>
        <v>308</v>
      </c>
      <c r="B312" s="14" t="s">
        <v>326</v>
      </c>
      <c r="C312" s="21" t="n">
        <f aca="false">CODE(RIGHT(B312,1))</f>
        <v>31</v>
      </c>
      <c r="D312" s="14" t="str">
        <f aca="false">CLEAN(B312)</f>
        <v>//PR:Clothing____SP:Carol20171011     $1635     </v>
      </c>
      <c r="E312" s="21" t="n">
        <f aca="false">CODE(RIGHT(D312,1))</f>
        <v>32</v>
      </c>
      <c r="F312" s="14" t="str">
        <f aca="false">SUBSTITUTE(D312,_xlfn.UNICHAR(160)," ")</f>
        <v>//PR:Clothing____SP:Carol20171011     $1635     </v>
      </c>
      <c r="G312" s="14" t="str">
        <f aca="false">SUBSTITUTE(F312,"/","")</f>
        <v>PR:Clothing____SP:Carol20171011     $1635     </v>
      </c>
      <c r="H312" s="14" t="str">
        <f aca="false">SUBSTITUTE(G312,"_"," ")</f>
        <v>PR:Clothing    SP:Carol20171011     $1635     </v>
      </c>
      <c r="I312" s="14" t="str">
        <f aca="false">TRIM(H312)</f>
        <v>PR:Clothing SP:Carol20171011 $1635</v>
      </c>
      <c r="J312" s="21" t="n">
        <f aca="false">LEN(I312)</f>
        <v>34</v>
      </c>
      <c r="K312" s="21" t="n">
        <f aca="false">CODE(RIGHT(I312,1))</f>
        <v>53</v>
      </c>
      <c r="L312" s="14" t="str">
        <f aca="false">SUBSTITUTE(I312,"PR:","")</f>
        <v>Clothing SP:Carol20171011 $1635</v>
      </c>
      <c r="M312" s="14" t="str">
        <f aca="false">SUBSTITUTE(L312,"SP:","")</f>
        <v>Clothing Carol20171011 $1635</v>
      </c>
      <c r="N312" s="15" t="str">
        <f aca="false">SUBSTITUTE(M312,"201710"," 201710")</f>
        <v>Clothing Carol 20171011 $1635</v>
      </c>
      <c r="O312" s="21" t="n">
        <f aca="false">FIND(" ",N312)</f>
        <v>9</v>
      </c>
      <c r="P312" s="21" t="n">
        <f aca="false">FIND(" ",N312,O312+1)</f>
        <v>15</v>
      </c>
      <c r="Q312" s="21" t="n">
        <f aca="false">FIND(" ",N312,P312+1)</f>
        <v>24</v>
      </c>
      <c r="R312" s="26" t="str">
        <f aca="false">LEFT(N312,O312-1)</f>
        <v>Clothing</v>
      </c>
      <c r="S312" s="26" t="str">
        <f aca="false">MID(N312,O312+1,P312-O312-1)</f>
        <v>Carol</v>
      </c>
      <c r="T312" s="26" t="str">
        <f aca="false">MID(N312,P312+1,Q312-P312-1)</f>
        <v>20171011</v>
      </c>
      <c r="U312" s="26" t="n">
        <f aca="false">VALUE(MID(N312,Q312+2,90))</f>
        <v>1635</v>
      </c>
      <c r="V312" s="27" t="n">
        <f aca="false">DATE(2017,10,MID(T312,7,2))</f>
        <v>43019</v>
      </c>
    </row>
    <row r="313" customFormat="false" ht="14.25" hidden="false" customHeight="false" outlineLevel="0" collapsed="false">
      <c r="A313" s="23" t="n">
        <f aca="false">A312+1</f>
        <v>309</v>
      </c>
      <c r="B313" s="14" t="s">
        <v>327</v>
      </c>
      <c r="C313" s="21" t="n">
        <f aca="false">CODE(RIGHT(B313,1))</f>
        <v>31</v>
      </c>
      <c r="D313" s="14" t="str">
        <f aca="false">CLEAN(B313)</f>
        <v>////PR:Books_SP:Alice20171020 $940   </v>
      </c>
      <c r="E313" s="21" t="n">
        <f aca="false">CODE(RIGHT(D313,1))</f>
        <v>32</v>
      </c>
      <c r="F313" s="14" t="str">
        <f aca="false">SUBSTITUTE(D313,_xlfn.UNICHAR(160)," ")</f>
        <v>////PR:Books_SP:Alice20171020 $940   </v>
      </c>
      <c r="G313" s="14" t="str">
        <f aca="false">SUBSTITUTE(F313,"/","")</f>
        <v>PR:Books_SP:Alice20171020 $940   </v>
      </c>
      <c r="H313" s="14" t="str">
        <f aca="false">SUBSTITUTE(G313,"_"," ")</f>
        <v>PR:Books SP:Alice20171020 $940   </v>
      </c>
      <c r="I313" s="14" t="str">
        <f aca="false">TRIM(H313)</f>
        <v>PR:Books SP:Alice20171020 $940</v>
      </c>
      <c r="J313" s="21" t="n">
        <f aca="false">LEN(I313)</f>
        <v>30</v>
      </c>
      <c r="K313" s="21" t="n">
        <f aca="false">CODE(RIGHT(I313,1))</f>
        <v>48</v>
      </c>
      <c r="L313" s="14" t="str">
        <f aca="false">SUBSTITUTE(I313,"PR:","")</f>
        <v>Books SP:Alice20171020 $940</v>
      </c>
      <c r="M313" s="14" t="str">
        <f aca="false">SUBSTITUTE(L313,"SP:","")</f>
        <v>Books Alice20171020 $940</v>
      </c>
      <c r="N313" s="15" t="str">
        <f aca="false">SUBSTITUTE(M313,"201710"," 201710")</f>
        <v>Books Alice 20171020 $940</v>
      </c>
      <c r="O313" s="21" t="n">
        <f aca="false">FIND(" ",N313)</f>
        <v>6</v>
      </c>
      <c r="P313" s="21" t="n">
        <f aca="false">FIND(" ",N313,O313+1)</f>
        <v>12</v>
      </c>
      <c r="Q313" s="21" t="n">
        <f aca="false">FIND(" ",N313,P313+1)</f>
        <v>21</v>
      </c>
      <c r="R313" s="26" t="str">
        <f aca="false">LEFT(N313,O313-1)</f>
        <v>Books</v>
      </c>
      <c r="S313" s="26" t="str">
        <f aca="false">MID(N313,O313+1,P313-O313-1)</f>
        <v>Alice</v>
      </c>
      <c r="T313" s="26" t="str">
        <f aca="false">MID(N313,P313+1,Q313-P313-1)</f>
        <v>20171020</v>
      </c>
      <c r="U313" s="26" t="n">
        <f aca="false">VALUE(MID(N313,Q313+2,90))</f>
        <v>940</v>
      </c>
      <c r="V313" s="27" t="n">
        <f aca="false">DATE(2017,10,MID(T313,7,2))</f>
        <v>43028</v>
      </c>
    </row>
    <row r="314" customFormat="false" ht="14.25" hidden="false" customHeight="false" outlineLevel="0" collapsed="false">
      <c r="A314" s="23" t="n">
        <f aca="false">A313+1</f>
        <v>310</v>
      </c>
      <c r="B314" s="14" t="s">
        <v>328</v>
      </c>
      <c r="C314" s="21" t="n">
        <f aca="false">CODE(RIGHT(B314,1))</f>
        <v>31</v>
      </c>
      <c r="D314" s="14" t="str">
        <f aca="false">CLEAN(B314)</f>
        <v>////PR:Music__SP:Alice20171018   $1071     </v>
      </c>
      <c r="E314" s="21" t="n">
        <f aca="false">CODE(RIGHT(D314,1))</f>
        <v>32</v>
      </c>
      <c r="F314" s="14" t="str">
        <f aca="false">SUBSTITUTE(D314,_xlfn.UNICHAR(160)," ")</f>
        <v>////PR:Music__SP:Alice20171018   $1071     </v>
      </c>
      <c r="G314" s="14" t="str">
        <f aca="false">SUBSTITUTE(F314,"/","")</f>
        <v>PR:Music__SP:Alice20171018   $1071     </v>
      </c>
      <c r="H314" s="14" t="str">
        <f aca="false">SUBSTITUTE(G314,"_"," ")</f>
        <v>PR:Music  SP:Alice20171018   $1071     </v>
      </c>
      <c r="I314" s="14" t="str">
        <f aca="false">TRIM(H314)</f>
        <v>PR:Music SP:Alice20171018 $1071</v>
      </c>
      <c r="J314" s="21" t="n">
        <f aca="false">LEN(I314)</f>
        <v>31</v>
      </c>
      <c r="K314" s="21" t="n">
        <f aca="false">CODE(RIGHT(I314,1))</f>
        <v>49</v>
      </c>
      <c r="L314" s="14" t="str">
        <f aca="false">SUBSTITUTE(I314,"PR:","")</f>
        <v>Music SP:Alice20171018 $1071</v>
      </c>
      <c r="M314" s="14" t="str">
        <f aca="false">SUBSTITUTE(L314,"SP:","")</f>
        <v>Music Alice20171018 $1071</v>
      </c>
      <c r="N314" s="15" t="str">
        <f aca="false">SUBSTITUTE(M314,"201710"," 201710")</f>
        <v>Music Alice 20171018 $1071</v>
      </c>
      <c r="O314" s="21" t="n">
        <f aca="false">FIND(" ",N314)</f>
        <v>6</v>
      </c>
      <c r="P314" s="21" t="n">
        <f aca="false">FIND(" ",N314,O314+1)</f>
        <v>12</v>
      </c>
      <c r="Q314" s="21" t="n">
        <f aca="false">FIND(" ",N314,P314+1)</f>
        <v>21</v>
      </c>
      <c r="R314" s="26" t="str">
        <f aca="false">LEFT(N314,O314-1)</f>
        <v>Music</v>
      </c>
      <c r="S314" s="26" t="str">
        <f aca="false">MID(N314,O314+1,P314-O314-1)</f>
        <v>Alice</v>
      </c>
      <c r="T314" s="26" t="str">
        <f aca="false">MID(N314,P314+1,Q314-P314-1)</f>
        <v>20171018</v>
      </c>
      <c r="U314" s="26" t="n">
        <f aca="false">VALUE(MID(N314,Q314+2,90))</f>
        <v>1071</v>
      </c>
      <c r="V314" s="27" t="n">
        <f aca="false">DATE(2017,10,MID(T314,7,2))</f>
        <v>43026</v>
      </c>
    </row>
    <row r="315" customFormat="false" ht="14.25" hidden="false" customHeight="false" outlineLevel="0" collapsed="false">
      <c r="A315" s="23" t="n">
        <f aca="false">A314+1</f>
        <v>311</v>
      </c>
      <c r="B315" s="14" t="s">
        <v>329</v>
      </c>
      <c r="C315" s="21" t="n">
        <f aca="false">CODE(RIGHT(B315,1))</f>
        <v>31</v>
      </c>
      <c r="D315" s="14" t="str">
        <f aca="false">CLEAN(B315)</f>
        <v>//PR:Music__SP:David2017104  $0   </v>
      </c>
      <c r="E315" s="21" t="n">
        <f aca="false">CODE(RIGHT(D315,1))</f>
        <v>32</v>
      </c>
      <c r="F315" s="14" t="str">
        <f aca="false">SUBSTITUTE(D315,_xlfn.UNICHAR(160)," ")</f>
        <v>//PR:Music__SP:David2017104  $0   </v>
      </c>
      <c r="G315" s="14" t="str">
        <f aca="false">SUBSTITUTE(F315,"/","")</f>
        <v>PR:Music__SP:David2017104  $0   </v>
      </c>
      <c r="H315" s="14" t="str">
        <f aca="false">SUBSTITUTE(G315,"_"," ")</f>
        <v>PR:Music  SP:David2017104  $0   </v>
      </c>
      <c r="I315" s="14" t="str">
        <f aca="false">TRIM(H315)</f>
        <v>PR:Music SP:David2017104 $0</v>
      </c>
      <c r="J315" s="21" t="n">
        <f aca="false">LEN(I315)</f>
        <v>27</v>
      </c>
      <c r="K315" s="21" t="n">
        <f aca="false">CODE(RIGHT(I315,1))</f>
        <v>48</v>
      </c>
      <c r="L315" s="14" t="str">
        <f aca="false">SUBSTITUTE(I315,"PR:","")</f>
        <v>Music SP:David2017104 $0</v>
      </c>
      <c r="M315" s="14" t="str">
        <f aca="false">SUBSTITUTE(L315,"SP:","")</f>
        <v>Music David2017104 $0</v>
      </c>
      <c r="N315" s="15" t="str">
        <f aca="false">SUBSTITUTE(M315,"201710"," 201710")</f>
        <v>Music David 2017104 $0</v>
      </c>
      <c r="O315" s="21" t="n">
        <f aca="false">FIND(" ",N315)</f>
        <v>6</v>
      </c>
      <c r="P315" s="21" t="n">
        <f aca="false">FIND(" ",N315,O315+1)</f>
        <v>12</v>
      </c>
      <c r="Q315" s="21" t="n">
        <f aca="false">FIND(" ",N315,P315+1)</f>
        <v>20</v>
      </c>
      <c r="R315" s="26" t="str">
        <f aca="false">LEFT(N315,O315-1)</f>
        <v>Music</v>
      </c>
      <c r="S315" s="26" t="str">
        <f aca="false">MID(N315,O315+1,P315-O315-1)</f>
        <v>David</v>
      </c>
      <c r="T315" s="26" t="str">
        <f aca="false">MID(N315,P315+1,Q315-P315-1)</f>
        <v>2017104</v>
      </c>
      <c r="U315" s="26" t="n">
        <f aca="false">VALUE(MID(N315,Q315+2,90))</f>
        <v>0</v>
      </c>
      <c r="V315" s="27" t="n">
        <f aca="false">DATE(2017,10,MID(T315,7,2))</f>
        <v>43012</v>
      </c>
    </row>
    <row r="316" customFormat="false" ht="14.25" hidden="false" customHeight="false" outlineLevel="0" collapsed="false">
      <c r="A316" s="23" t="n">
        <f aca="false">A315+1</f>
        <v>312</v>
      </c>
      <c r="B316" s="14" t="s">
        <v>330</v>
      </c>
      <c r="C316" s="21" t="n">
        <f aca="false">CODE(RIGHT(B316,1))</f>
        <v>30</v>
      </c>
      <c r="D316" s="14" t="str">
        <f aca="false">CLEAN(B316)</f>
        <v>////PR:Games____SP:David20171010  $1870  </v>
      </c>
      <c r="E316" s="21" t="n">
        <f aca="false">CODE(RIGHT(D316,1))</f>
        <v>32</v>
      </c>
      <c r="F316" s="14" t="str">
        <f aca="false">SUBSTITUTE(D316,_xlfn.UNICHAR(160)," ")</f>
        <v>////PR:Games____SP:David20171010  $1870  </v>
      </c>
      <c r="G316" s="14" t="str">
        <f aca="false">SUBSTITUTE(F316,"/","")</f>
        <v>PR:Games____SP:David20171010  $1870  </v>
      </c>
      <c r="H316" s="14" t="str">
        <f aca="false">SUBSTITUTE(G316,"_"," ")</f>
        <v>PR:Games    SP:David20171010  $1870  </v>
      </c>
      <c r="I316" s="14" t="str">
        <f aca="false">TRIM(H316)</f>
        <v>PR:Games SP:David20171010 $1870</v>
      </c>
      <c r="J316" s="21" t="n">
        <f aca="false">LEN(I316)</f>
        <v>31</v>
      </c>
      <c r="K316" s="21" t="n">
        <f aca="false">CODE(RIGHT(I316,1))</f>
        <v>48</v>
      </c>
      <c r="L316" s="14" t="str">
        <f aca="false">SUBSTITUTE(I316,"PR:","")</f>
        <v>Games SP:David20171010 $1870</v>
      </c>
      <c r="M316" s="14" t="str">
        <f aca="false">SUBSTITUTE(L316,"SP:","")</f>
        <v>Games David20171010 $1870</v>
      </c>
      <c r="N316" s="15" t="str">
        <f aca="false">SUBSTITUTE(M316,"201710"," 201710")</f>
        <v>Games David 20171010 $1870</v>
      </c>
      <c r="O316" s="21" t="n">
        <f aca="false">FIND(" ",N316)</f>
        <v>6</v>
      </c>
      <c r="P316" s="21" t="n">
        <f aca="false">FIND(" ",N316,O316+1)</f>
        <v>12</v>
      </c>
      <c r="Q316" s="21" t="n">
        <f aca="false">FIND(" ",N316,P316+1)</f>
        <v>21</v>
      </c>
      <c r="R316" s="26" t="str">
        <f aca="false">LEFT(N316,O316-1)</f>
        <v>Games</v>
      </c>
      <c r="S316" s="26" t="str">
        <f aca="false">MID(N316,O316+1,P316-O316-1)</f>
        <v>David</v>
      </c>
      <c r="T316" s="26" t="str">
        <f aca="false">MID(N316,P316+1,Q316-P316-1)</f>
        <v>20171010</v>
      </c>
      <c r="U316" s="26" t="n">
        <f aca="false">VALUE(MID(N316,Q316+2,90))</f>
        <v>1870</v>
      </c>
      <c r="V316" s="27" t="n">
        <f aca="false">DATE(2017,10,MID(T316,7,2))</f>
        <v>43018</v>
      </c>
    </row>
    <row r="317" customFormat="false" ht="14.25" hidden="false" customHeight="false" outlineLevel="0" collapsed="false">
      <c r="A317" s="23" t="n">
        <f aca="false">A316+1</f>
        <v>313</v>
      </c>
      <c r="B317" s="14" t="s">
        <v>331</v>
      </c>
      <c r="C317" s="21" t="n">
        <f aca="false">CODE(RIGHT(B317,1))</f>
        <v>29</v>
      </c>
      <c r="D317" s="14" t="str">
        <f aca="false">CLEAN(B317)</f>
        <v>///PR:Books__SP:Barney20171029 $764 </v>
      </c>
      <c r="E317" s="21" t="n">
        <f aca="false">CODE(RIGHT(D317,1))</f>
        <v>32</v>
      </c>
      <c r="F317" s="14" t="str">
        <f aca="false">SUBSTITUTE(D317,_xlfn.UNICHAR(160)," ")</f>
        <v>///PR:Books__SP:Barney20171029 $764 </v>
      </c>
      <c r="G317" s="14" t="str">
        <f aca="false">SUBSTITUTE(F317,"/","")</f>
        <v>PR:Books__SP:Barney20171029 $764 </v>
      </c>
      <c r="H317" s="14" t="str">
        <f aca="false">SUBSTITUTE(G317,"_"," ")</f>
        <v>PR:Books  SP:Barney20171029 $764 </v>
      </c>
      <c r="I317" s="14" t="str">
        <f aca="false">TRIM(H317)</f>
        <v>PR:Books SP:Barney20171029 $764</v>
      </c>
      <c r="J317" s="21" t="n">
        <f aca="false">LEN(I317)</f>
        <v>31</v>
      </c>
      <c r="K317" s="21" t="n">
        <f aca="false">CODE(RIGHT(I317,1))</f>
        <v>52</v>
      </c>
      <c r="L317" s="14" t="str">
        <f aca="false">SUBSTITUTE(I317,"PR:","")</f>
        <v>Books SP:Barney20171029 $764</v>
      </c>
      <c r="M317" s="14" t="str">
        <f aca="false">SUBSTITUTE(L317,"SP:","")</f>
        <v>Books Barney20171029 $764</v>
      </c>
      <c r="N317" s="15" t="str">
        <f aca="false">SUBSTITUTE(M317,"201710"," 201710")</f>
        <v>Books Barney 20171029 $764</v>
      </c>
      <c r="O317" s="21" t="n">
        <f aca="false">FIND(" ",N317)</f>
        <v>6</v>
      </c>
      <c r="P317" s="21" t="n">
        <f aca="false">FIND(" ",N317,O317+1)</f>
        <v>13</v>
      </c>
      <c r="Q317" s="21" t="n">
        <f aca="false">FIND(" ",N317,P317+1)</f>
        <v>22</v>
      </c>
      <c r="R317" s="26" t="str">
        <f aca="false">LEFT(N317,O317-1)</f>
        <v>Books</v>
      </c>
      <c r="S317" s="26" t="str">
        <f aca="false">MID(N317,O317+1,P317-O317-1)</f>
        <v>Barney</v>
      </c>
      <c r="T317" s="26" t="str">
        <f aca="false">MID(N317,P317+1,Q317-P317-1)</f>
        <v>20171029</v>
      </c>
      <c r="U317" s="26" t="n">
        <f aca="false">VALUE(MID(N317,Q317+2,90))</f>
        <v>764</v>
      </c>
      <c r="V317" s="27" t="n">
        <f aca="false">DATE(2017,10,MID(T317,7,2))</f>
        <v>43037</v>
      </c>
    </row>
    <row r="318" customFormat="false" ht="14.25" hidden="false" customHeight="false" outlineLevel="0" collapsed="false">
      <c r="A318" s="23" t="n">
        <f aca="false">A317+1</f>
        <v>314</v>
      </c>
      <c r="B318" s="14" t="s">
        <v>332</v>
      </c>
      <c r="C318" s="21" t="n">
        <f aca="false">CODE(RIGHT(B318,1))</f>
        <v>29</v>
      </c>
      <c r="D318" s="14" t="str">
        <f aca="false">CLEAN(B318)</f>
        <v>//PR:Clothing_____SP:David20171023   $1176 </v>
      </c>
      <c r="E318" s="21" t="n">
        <f aca="false">CODE(RIGHT(D318,1))</f>
        <v>32</v>
      </c>
      <c r="F318" s="14" t="str">
        <f aca="false">SUBSTITUTE(D318,_xlfn.UNICHAR(160)," ")</f>
        <v>//PR:Clothing_____SP:David20171023   $1176 </v>
      </c>
      <c r="G318" s="14" t="str">
        <f aca="false">SUBSTITUTE(F318,"/","")</f>
        <v>PR:Clothing_____SP:David20171023   $1176 </v>
      </c>
      <c r="H318" s="14" t="str">
        <f aca="false">SUBSTITUTE(G318,"_"," ")</f>
        <v>PR:Clothing     SP:David20171023   $1176 </v>
      </c>
      <c r="I318" s="14" t="str">
        <f aca="false">TRIM(H318)</f>
        <v>PR:Clothing SP:David20171023 $1176</v>
      </c>
      <c r="J318" s="21" t="n">
        <f aca="false">LEN(I318)</f>
        <v>34</v>
      </c>
      <c r="K318" s="21" t="n">
        <f aca="false">CODE(RIGHT(I318,1))</f>
        <v>54</v>
      </c>
      <c r="L318" s="14" t="str">
        <f aca="false">SUBSTITUTE(I318,"PR:","")</f>
        <v>Clothing SP:David20171023 $1176</v>
      </c>
      <c r="M318" s="14" t="str">
        <f aca="false">SUBSTITUTE(L318,"SP:","")</f>
        <v>Clothing David20171023 $1176</v>
      </c>
      <c r="N318" s="15" t="str">
        <f aca="false">SUBSTITUTE(M318,"201710"," 201710")</f>
        <v>Clothing David 20171023 $1176</v>
      </c>
      <c r="O318" s="21" t="n">
        <f aca="false">FIND(" ",N318)</f>
        <v>9</v>
      </c>
      <c r="P318" s="21" t="n">
        <f aca="false">FIND(" ",N318,O318+1)</f>
        <v>15</v>
      </c>
      <c r="Q318" s="21" t="n">
        <f aca="false">FIND(" ",N318,P318+1)</f>
        <v>24</v>
      </c>
      <c r="R318" s="26" t="str">
        <f aca="false">LEFT(N318,O318-1)</f>
        <v>Clothing</v>
      </c>
      <c r="S318" s="26" t="str">
        <f aca="false">MID(N318,O318+1,P318-O318-1)</f>
        <v>David</v>
      </c>
      <c r="T318" s="26" t="str">
        <f aca="false">MID(N318,P318+1,Q318-P318-1)</f>
        <v>20171023</v>
      </c>
      <c r="U318" s="26" t="n">
        <f aca="false">VALUE(MID(N318,Q318+2,90))</f>
        <v>1176</v>
      </c>
      <c r="V318" s="27" t="n">
        <f aca="false">DATE(2017,10,MID(T318,7,2))</f>
        <v>43031</v>
      </c>
    </row>
    <row r="319" customFormat="false" ht="14.25" hidden="false" customHeight="false" outlineLevel="0" collapsed="false">
      <c r="A319" s="23" t="n">
        <f aca="false">A318+1</f>
        <v>315</v>
      </c>
      <c r="B319" s="14" t="s">
        <v>333</v>
      </c>
      <c r="C319" s="21" t="n">
        <f aca="false">CODE(RIGHT(B319,1))</f>
        <v>30</v>
      </c>
      <c r="D319" s="14" t="str">
        <f aca="false">CLEAN(B319)</f>
        <v>/PR:Clothing___SP:Alice20171024    $681 </v>
      </c>
      <c r="E319" s="21" t="n">
        <f aca="false">CODE(RIGHT(D319,1))</f>
        <v>32</v>
      </c>
      <c r="F319" s="14" t="str">
        <f aca="false">SUBSTITUTE(D319,_xlfn.UNICHAR(160)," ")</f>
        <v>/PR:Clothing___SP:Alice20171024    $681 </v>
      </c>
      <c r="G319" s="14" t="str">
        <f aca="false">SUBSTITUTE(F319,"/","")</f>
        <v>PR:Clothing___SP:Alice20171024    $681 </v>
      </c>
      <c r="H319" s="14" t="str">
        <f aca="false">SUBSTITUTE(G319,"_"," ")</f>
        <v>PR:Clothing   SP:Alice20171024    $681 </v>
      </c>
      <c r="I319" s="14" t="str">
        <f aca="false">TRIM(H319)</f>
        <v>PR:Clothing SP:Alice20171024 $681</v>
      </c>
      <c r="J319" s="21" t="n">
        <f aca="false">LEN(I319)</f>
        <v>33</v>
      </c>
      <c r="K319" s="21" t="n">
        <f aca="false">CODE(RIGHT(I319,1))</f>
        <v>49</v>
      </c>
      <c r="L319" s="14" t="str">
        <f aca="false">SUBSTITUTE(I319,"PR:","")</f>
        <v>Clothing SP:Alice20171024 $681</v>
      </c>
      <c r="M319" s="14" t="str">
        <f aca="false">SUBSTITUTE(L319,"SP:","")</f>
        <v>Clothing Alice20171024 $681</v>
      </c>
      <c r="N319" s="15" t="str">
        <f aca="false">SUBSTITUTE(M319,"201710"," 201710")</f>
        <v>Clothing Alice 20171024 $681</v>
      </c>
      <c r="O319" s="21" t="n">
        <f aca="false">FIND(" ",N319)</f>
        <v>9</v>
      </c>
      <c r="P319" s="21" t="n">
        <f aca="false">FIND(" ",N319,O319+1)</f>
        <v>15</v>
      </c>
      <c r="Q319" s="21" t="n">
        <f aca="false">FIND(" ",N319,P319+1)</f>
        <v>24</v>
      </c>
      <c r="R319" s="26" t="str">
        <f aca="false">LEFT(N319,O319-1)</f>
        <v>Clothing</v>
      </c>
      <c r="S319" s="26" t="str">
        <f aca="false">MID(N319,O319+1,P319-O319-1)</f>
        <v>Alice</v>
      </c>
      <c r="T319" s="26" t="str">
        <f aca="false">MID(N319,P319+1,Q319-P319-1)</f>
        <v>20171024</v>
      </c>
      <c r="U319" s="26" t="n">
        <f aca="false">VALUE(MID(N319,Q319+2,90))</f>
        <v>681</v>
      </c>
      <c r="V319" s="27" t="n">
        <f aca="false">DATE(2017,10,MID(T319,7,2))</f>
        <v>43032</v>
      </c>
    </row>
    <row r="320" customFormat="false" ht="14.25" hidden="false" customHeight="false" outlineLevel="0" collapsed="false">
      <c r="A320" s="23" t="n">
        <f aca="false">A319+1</f>
        <v>316</v>
      </c>
      <c r="B320" s="14" t="s">
        <v>334</v>
      </c>
      <c r="C320" s="21" t="n">
        <f aca="false">CODE(RIGHT(B320,1))</f>
        <v>28</v>
      </c>
      <c r="D320" s="14" t="str">
        <f aca="false">CLEAN(B320)</f>
        <v>///PR:Music_____SP:Barney20171019    $1500  </v>
      </c>
      <c r="E320" s="21" t="n">
        <f aca="false">CODE(RIGHT(D320,1))</f>
        <v>32</v>
      </c>
      <c r="F320" s="14" t="str">
        <f aca="false">SUBSTITUTE(D320,_xlfn.UNICHAR(160)," ")</f>
        <v>///PR:Music_____SP:Barney20171019    $1500  </v>
      </c>
      <c r="G320" s="14" t="str">
        <f aca="false">SUBSTITUTE(F320,"/","")</f>
        <v>PR:Music_____SP:Barney20171019    $1500  </v>
      </c>
      <c r="H320" s="14" t="str">
        <f aca="false">SUBSTITUTE(G320,"_"," ")</f>
        <v>PR:Music     SP:Barney20171019    $1500  </v>
      </c>
      <c r="I320" s="14" t="str">
        <f aca="false">TRIM(H320)</f>
        <v>PR:Music SP:Barney20171019 $1500</v>
      </c>
      <c r="J320" s="21" t="n">
        <f aca="false">LEN(I320)</f>
        <v>32</v>
      </c>
      <c r="K320" s="21" t="n">
        <f aca="false">CODE(RIGHT(I320,1))</f>
        <v>48</v>
      </c>
      <c r="L320" s="14" t="str">
        <f aca="false">SUBSTITUTE(I320,"PR:","")</f>
        <v>Music SP:Barney20171019 $1500</v>
      </c>
      <c r="M320" s="14" t="str">
        <f aca="false">SUBSTITUTE(L320,"SP:","")</f>
        <v>Music Barney20171019 $1500</v>
      </c>
      <c r="N320" s="15" t="str">
        <f aca="false">SUBSTITUTE(M320,"201710"," 201710")</f>
        <v>Music Barney 20171019 $1500</v>
      </c>
      <c r="O320" s="21" t="n">
        <f aca="false">FIND(" ",N320)</f>
        <v>6</v>
      </c>
      <c r="P320" s="21" t="n">
        <f aca="false">FIND(" ",N320,O320+1)</f>
        <v>13</v>
      </c>
      <c r="Q320" s="21" t="n">
        <f aca="false">FIND(" ",N320,P320+1)</f>
        <v>22</v>
      </c>
      <c r="R320" s="26" t="str">
        <f aca="false">LEFT(N320,O320-1)</f>
        <v>Music</v>
      </c>
      <c r="S320" s="26" t="str">
        <f aca="false">MID(N320,O320+1,P320-O320-1)</f>
        <v>Barney</v>
      </c>
      <c r="T320" s="26" t="str">
        <f aca="false">MID(N320,P320+1,Q320-P320-1)</f>
        <v>20171019</v>
      </c>
      <c r="U320" s="26" t="n">
        <f aca="false">VALUE(MID(N320,Q320+2,90))</f>
        <v>1500</v>
      </c>
      <c r="V320" s="27" t="n">
        <f aca="false">DATE(2017,10,MID(T320,7,2))</f>
        <v>43027</v>
      </c>
    </row>
    <row r="321" customFormat="false" ht="14.25" hidden="false" customHeight="false" outlineLevel="0" collapsed="false">
      <c r="A321" s="23" t="n">
        <f aca="false">A320+1</f>
        <v>317</v>
      </c>
      <c r="B321" s="14" t="s">
        <v>335</v>
      </c>
      <c r="C321" s="21" t="n">
        <f aca="false">CODE(RIGHT(B321,1))</f>
        <v>30</v>
      </c>
      <c r="D321" s="14" t="str">
        <f aca="false">CLEAN(B321)</f>
        <v>/////PR:Music__SP:David20171029 $0     </v>
      </c>
      <c r="E321" s="21" t="n">
        <f aca="false">CODE(RIGHT(D321,1))</f>
        <v>32</v>
      </c>
      <c r="F321" s="14" t="str">
        <f aca="false">SUBSTITUTE(D321,_xlfn.UNICHAR(160)," ")</f>
        <v>/////PR:Music__SP:David20171029 $0     </v>
      </c>
      <c r="G321" s="14" t="str">
        <f aca="false">SUBSTITUTE(F321,"/","")</f>
        <v>PR:Music__SP:David20171029 $0     </v>
      </c>
      <c r="H321" s="14" t="str">
        <f aca="false">SUBSTITUTE(G321,"_"," ")</f>
        <v>PR:Music  SP:David20171029 $0     </v>
      </c>
      <c r="I321" s="14" t="str">
        <f aca="false">TRIM(H321)</f>
        <v>PR:Music SP:David20171029 $0</v>
      </c>
      <c r="J321" s="21" t="n">
        <f aca="false">LEN(I321)</f>
        <v>28</v>
      </c>
      <c r="K321" s="21" t="n">
        <f aca="false">CODE(RIGHT(I321,1))</f>
        <v>48</v>
      </c>
      <c r="L321" s="14" t="str">
        <f aca="false">SUBSTITUTE(I321,"PR:","")</f>
        <v>Music SP:David20171029 $0</v>
      </c>
      <c r="M321" s="14" t="str">
        <f aca="false">SUBSTITUTE(L321,"SP:","")</f>
        <v>Music David20171029 $0</v>
      </c>
      <c r="N321" s="15" t="str">
        <f aca="false">SUBSTITUTE(M321,"201710"," 201710")</f>
        <v>Music David 20171029 $0</v>
      </c>
      <c r="O321" s="21" t="n">
        <f aca="false">FIND(" ",N321)</f>
        <v>6</v>
      </c>
      <c r="P321" s="21" t="n">
        <f aca="false">FIND(" ",N321,O321+1)</f>
        <v>12</v>
      </c>
      <c r="Q321" s="21" t="n">
        <f aca="false">FIND(" ",N321,P321+1)</f>
        <v>21</v>
      </c>
      <c r="R321" s="26" t="str">
        <f aca="false">LEFT(N321,O321-1)</f>
        <v>Music</v>
      </c>
      <c r="S321" s="26" t="str">
        <f aca="false">MID(N321,O321+1,P321-O321-1)</f>
        <v>David</v>
      </c>
      <c r="T321" s="26" t="str">
        <f aca="false">MID(N321,P321+1,Q321-P321-1)</f>
        <v>20171029</v>
      </c>
      <c r="U321" s="26" t="n">
        <f aca="false">VALUE(MID(N321,Q321+2,90))</f>
        <v>0</v>
      </c>
      <c r="V321" s="27" t="n">
        <f aca="false">DATE(2017,10,MID(T321,7,2))</f>
        <v>43037</v>
      </c>
    </row>
    <row r="322" customFormat="false" ht="14.25" hidden="false" customHeight="false" outlineLevel="0" collapsed="false">
      <c r="A322" s="23" t="n">
        <f aca="false">A321+1</f>
        <v>318</v>
      </c>
      <c r="B322" s="14" t="s">
        <v>336</v>
      </c>
      <c r="C322" s="21" t="n">
        <f aca="false">CODE(RIGHT(B322,1))</f>
        <v>28</v>
      </c>
      <c r="D322" s="14" t="str">
        <f aca="false">CLEAN(B322)</f>
        <v>//PR:Music__SP:Alice20171017     $0 </v>
      </c>
      <c r="E322" s="21" t="n">
        <f aca="false">CODE(RIGHT(D322,1))</f>
        <v>32</v>
      </c>
      <c r="F322" s="14" t="str">
        <f aca="false">SUBSTITUTE(D322,_xlfn.UNICHAR(160)," ")</f>
        <v>//PR:Music__SP:Alice20171017     $0 </v>
      </c>
      <c r="G322" s="14" t="str">
        <f aca="false">SUBSTITUTE(F322,"/","")</f>
        <v>PR:Music__SP:Alice20171017     $0 </v>
      </c>
      <c r="H322" s="14" t="str">
        <f aca="false">SUBSTITUTE(G322,"_"," ")</f>
        <v>PR:Music  SP:Alice20171017     $0 </v>
      </c>
      <c r="I322" s="14" t="str">
        <f aca="false">TRIM(H322)</f>
        <v>PR:Music SP:Alice20171017 $0</v>
      </c>
      <c r="J322" s="21" t="n">
        <f aca="false">LEN(I322)</f>
        <v>28</v>
      </c>
      <c r="K322" s="21" t="n">
        <f aca="false">CODE(RIGHT(I322,1))</f>
        <v>48</v>
      </c>
      <c r="L322" s="14" t="str">
        <f aca="false">SUBSTITUTE(I322,"PR:","")</f>
        <v>Music SP:Alice20171017 $0</v>
      </c>
      <c r="M322" s="14" t="str">
        <f aca="false">SUBSTITUTE(L322,"SP:","")</f>
        <v>Music Alice20171017 $0</v>
      </c>
      <c r="N322" s="15" t="str">
        <f aca="false">SUBSTITUTE(M322,"201710"," 201710")</f>
        <v>Music Alice 20171017 $0</v>
      </c>
      <c r="O322" s="21" t="n">
        <f aca="false">FIND(" ",N322)</f>
        <v>6</v>
      </c>
      <c r="P322" s="21" t="n">
        <f aca="false">FIND(" ",N322,O322+1)</f>
        <v>12</v>
      </c>
      <c r="Q322" s="21" t="n">
        <f aca="false">FIND(" ",N322,P322+1)</f>
        <v>21</v>
      </c>
      <c r="R322" s="26" t="str">
        <f aca="false">LEFT(N322,O322-1)</f>
        <v>Music</v>
      </c>
      <c r="S322" s="26" t="str">
        <f aca="false">MID(N322,O322+1,P322-O322-1)</f>
        <v>Alice</v>
      </c>
      <c r="T322" s="26" t="str">
        <f aca="false">MID(N322,P322+1,Q322-P322-1)</f>
        <v>20171017</v>
      </c>
      <c r="U322" s="26" t="n">
        <f aca="false">VALUE(MID(N322,Q322+2,90))</f>
        <v>0</v>
      </c>
      <c r="V322" s="27" t="n">
        <f aca="false">DATE(2017,10,MID(T322,7,2))</f>
        <v>43025</v>
      </c>
    </row>
    <row r="323" customFormat="false" ht="14.25" hidden="false" customHeight="false" outlineLevel="0" collapsed="false">
      <c r="A323" s="23" t="n">
        <f aca="false">A322+1</f>
        <v>319</v>
      </c>
      <c r="B323" s="14" t="s">
        <v>337</v>
      </c>
      <c r="C323" s="21" t="n">
        <f aca="false">CODE(RIGHT(B323,1))</f>
        <v>29</v>
      </c>
      <c r="D323" s="14" t="str">
        <f aca="false">CLEAN(B323)</f>
        <v>/////PR:Music_SP:Carol2017105     $1428  </v>
      </c>
      <c r="E323" s="21" t="n">
        <f aca="false">CODE(RIGHT(D323,1))</f>
        <v>32</v>
      </c>
      <c r="F323" s="14" t="str">
        <f aca="false">SUBSTITUTE(D323,_xlfn.UNICHAR(160)," ")</f>
        <v>/////PR:Music_SP:Carol2017105     $1428  </v>
      </c>
      <c r="G323" s="14" t="str">
        <f aca="false">SUBSTITUTE(F323,"/","")</f>
        <v>PR:Music_SP:Carol2017105     $1428  </v>
      </c>
      <c r="H323" s="14" t="str">
        <f aca="false">SUBSTITUTE(G323,"_"," ")</f>
        <v>PR:Music SP:Carol2017105     $1428  </v>
      </c>
      <c r="I323" s="14" t="str">
        <f aca="false">TRIM(H323)</f>
        <v>PR:Music SP:Carol2017105 $1428</v>
      </c>
      <c r="J323" s="21" t="n">
        <f aca="false">LEN(I323)</f>
        <v>30</v>
      </c>
      <c r="K323" s="21" t="n">
        <f aca="false">CODE(RIGHT(I323,1))</f>
        <v>56</v>
      </c>
      <c r="L323" s="14" t="str">
        <f aca="false">SUBSTITUTE(I323,"PR:","")</f>
        <v>Music SP:Carol2017105 $1428</v>
      </c>
      <c r="M323" s="14" t="str">
        <f aca="false">SUBSTITUTE(L323,"SP:","")</f>
        <v>Music Carol2017105 $1428</v>
      </c>
      <c r="N323" s="15" t="str">
        <f aca="false">SUBSTITUTE(M323,"201710"," 201710")</f>
        <v>Music Carol 2017105 $1428</v>
      </c>
      <c r="O323" s="21" t="n">
        <f aca="false">FIND(" ",N323)</f>
        <v>6</v>
      </c>
      <c r="P323" s="21" t="n">
        <f aca="false">FIND(" ",N323,O323+1)</f>
        <v>12</v>
      </c>
      <c r="Q323" s="21" t="n">
        <f aca="false">FIND(" ",N323,P323+1)</f>
        <v>20</v>
      </c>
      <c r="R323" s="26" t="str">
        <f aca="false">LEFT(N323,O323-1)</f>
        <v>Music</v>
      </c>
      <c r="S323" s="26" t="str">
        <f aca="false">MID(N323,O323+1,P323-O323-1)</f>
        <v>Carol</v>
      </c>
      <c r="T323" s="26" t="str">
        <f aca="false">MID(N323,P323+1,Q323-P323-1)</f>
        <v>2017105</v>
      </c>
      <c r="U323" s="26" t="n">
        <f aca="false">VALUE(MID(N323,Q323+2,90))</f>
        <v>1428</v>
      </c>
      <c r="V323" s="27" t="n">
        <f aca="false">DATE(2017,10,MID(T323,7,2))</f>
        <v>43013</v>
      </c>
    </row>
    <row r="324" customFormat="false" ht="14.25" hidden="false" customHeight="false" outlineLevel="0" collapsed="false">
      <c r="A324" s="23" t="n">
        <f aca="false">A323+1</f>
        <v>320</v>
      </c>
      <c r="B324" s="14" t="s">
        <v>338</v>
      </c>
      <c r="C324" s="21" t="n">
        <f aca="false">CODE(RIGHT(B324,1))</f>
        <v>29</v>
      </c>
      <c r="D324" s="14" t="str">
        <f aca="false">CLEAN(B324)</f>
        <v>///PR:Music____SP:Carol20171023     $968     </v>
      </c>
      <c r="E324" s="21" t="n">
        <f aca="false">CODE(RIGHT(D324,1))</f>
        <v>32</v>
      </c>
      <c r="F324" s="14" t="str">
        <f aca="false">SUBSTITUTE(D324,_xlfn.UNICHAR(160)," ")</f>
        <v>///PR:Music____SP:Carol20171023     $968     </v>
      </c>
      <c r="G324" s="14" t="str">
        <f aca="false">SUBSTITUTE(F324,"/","")</f>
        <v>PR:Music____SP:Carol20171023     $968     </v>
      </c>
      <c r="H324" s="14" t="str">
        <f aca="false">SUBSTITUTE(G324,"_"," ")</f>
        <v>PR:Music    SP:Carol20171023     $968     </v>
      </c>
      <c r="I324" s="14" t="str">
        <f aca="false">TRIM(H324)</f>
        <v>PR:Music SP:Carol20171023 $968</v>
      </c>
      <c r="J324" s="21" t="n">
        <f aca="false">LEN(I324)</f>
        <v>30</v>
      </c>
      <c r="K324" s="21" t="n">
        <f aca="false">CODE(RIGHT(I324,1))</f>
        <v>56</v>
      </c>
      <c r="L324" s="14" t="str">
        <f aca="false">SUBSTITUTE(I324,"PR:","")</f>
        <v>Music SP:Carol20171023 $968</v>
      </c>
      <c r="M324" s="14" t="str">
        <f aca="false">SUBSTITUTE(L324,"SP:","")</f>
        <v>Music Carol20171023 $968</v>
      </c>
      <c r="N324" s="15" t="str">
        <f aca="false">SUBSTITUTE(M324,"201710"," 201710")</f>
        <v>Music Carol 20171023 $968</v>
      </c>
      <c r="O324" s="21" t="n">
        <f aca="false">FIND(" ",N324)</f>
        <v>6</v>
      </c>
      <c r="P324" s="21" t="n">
        <f aca="false">FIND(" ",N324,O324+1)</f>
        <v>12</v>
      </c>
      <c r="Q324" s="21" t="n">
        <f aca="false">FIND(" ",N324,P324+1)</f>
        <v>21</v>
      </c>
      <c r="R324" s="26" t="str">
        <f aca="false">LEFT(N324,O324-1)</f>
        <v>Music</v>
      </c>
      <c r="S324" s="26" t="str">
        <f aca="false">MID(N324,O324+1,P324-O324-1)</f>
        <v>Carol</v>
      </c>
      <c r="T324" s="26" t="str">
        <f aca="false">MID(N324,P324+1,Q324-P324-1)</f>
        <v>20171023</v>
      </c>
      <c r="U324" s="26" t="n">
        <f aca="false">VALUE(MID(N324,Q324+2,90))</f>
        <v>968</v>
      </c>
      <c r="V324" s="27" t="n">
        <f aca="false">DATE(2017,10,MID(T324,7,2))</f>
        <v>43031</v>
      </c>
    </row>
    <row r="325" customFormat="false" ht="14.25" hidden="false" customHeight="false" outlineLevel="0" collapsed="false">
      <c r="A325" s="23" t="n">
        <f aca="false">A324+1</f>
        <v>321</v>
      </c>
      <c r="B325" s="14" t="s">
        <v>339</v>
      </c>
      <c r="C325" s="21" t="n">
        <f aca="false">CODE(RIGHT(B325,1))</f>
        <v>31</v>
      </c>
      <c r="D325" s="14" t="str">
        <f aca="false">CLEAN(B325)</f>
        <v>///PR:Games__SP:Alice20171026     $0    </v>
      </c>
      <c r="E325" s="21" t="n">
        <f aca="false">CODE(RIGHT(D325,1))</f>
        <v>32</v>
      </c>
      <c r="F325" s="14" t="str">
        <f aca="false">SUBSTITUTE(D325,_xlfn.UNICHAR(160)," ")</f>
        <v>///PR:Games__SP:Alice20171026     $0    </v>
      </c>
      <c r="G325" s="14" t="str">
        <f aca="false">SUBSTITUTE(F325,"/","")</f>
        <v>PR:Games__SP:Alice20171026     $0    </v>
      </c>
      <c r="H325" s="14" t="str">
        <f aca="false">SUBSTITUTE(G325,"_"," ")</f>
        <v>PR:Games  SP:Alice20171026     $0    </v>
      </c>
      <c r="I325" s="14" t="str">
        <f aca="false">TRIM(H325)</f>
        <v>PR:Games SP:Alice20171026 $0</v>
      </c>
      <c r="J325" s="21" t="n">
        <f aca="false">LEN(I325)</f>
        <v>28</v>
      </c>
      <c r="K325" s="21" t="n">
        <f aca="false">CODE(RIGHT(I325,1))</f>
        <v>48</v>
      </c>
      <c r="L325" s="14" t="str">
        <f aca="false">SUBSTITUTE(I325,"PR:","")</f>
        <v>Games SP:Alice20171026 $0</v>
      </c>
      <c r="M325" s="14" t="str">
        <f aca="false">SUBSTITUTE(L325,"SP:","")</f>
        <v>Games Alice20171026 $0</v>
      </c>
      <c r="N325" s="15" t="str">
        <f aca="false">SUBSTITUTE(M325,"201710"," 201710")</f>
        <v>Games Alice 20171026 $0</v>
      </c>
      <c r="O325" s="21" t="n">
        <f aca="false">FIND(" ",N325)</f>
        <v>6</v>
      </c>
      <c r="P325" s="21" t="n">
        <f aca="false">FIND(" ",N325,O325+1)</f>
        <v>12</v>
      </c>
      <c r="Q325" s="21" t="n">
        <f aca="false">FIND(" ",N325,P325+1)</f>
        <v>21</v>
      </c>
      <c r="R325" s="26" t="str">
        <f aca="false">LEFT(N325,O325-1)</f>
        <v>Games</v>
      </c>
      <c r="S325" s="26" t="str">
        <f aca="false">MID(N325,O325+1,P325-O325-1)</f>
        <v>Alice</v>
      </c>
      <c r="T325" s="26" t="str">
        <f aca="false">MID(N325,P325+1,Q325-P325-1)</f>
        <v>20171026</v>
      </c>
      <c r="U325" s="26" t="n">
        <f aca="false">VALUE(MID(N325,Q325+2,90))</f>
        <v>0</v>
      </c>
      <c r="V325" s="27" t="n">
        <f aca="false">DATE(2017,10,MID(T325,7,2))</f>
        <v>43034</v>
      </c>
    </row>
    <row r="326" customFormat="false" ht="14.25" hidden="false" customHeight="false" outlineLevel="0" collapsed="false">
      <c r="A326" s="23" t="n">
        <f aca="false">A325+1</f>
        <v>322</v>
      </c>
      <c r="B326" s="14" t="s">
        <v>340</v>
      </c>
      <c r="C326" s="21" t="n">
        <f aca="false">CODE(RIGHT(B326,1))</f>
        <v>28</v>
      </c>
      <c r="D326" s="14" t="str">
        <f aca="false">CLEAN(B326)</f>
        <v>////PR:Games_____SP:Barney20171016   $1522  </v>
      </c>
      <c r="E326" s="21" t="n">
        <f aca="false">CODE(RIGHT(D326,1))</f>
        <v>32</v>
      </c>
      <c r="F326" s="14" t="str">
        <f aca="false">SUBSTITUTE(D326,_xlfn.UNICHAR(160)," ")</f>
        <v>////PR:Games_____SP:Barney20171016   $1522  </v>
      </c>
      <c r="G326" s="14" t="str">
        <f aca="false">SUBSTITUTE(F326,"/","")</f>
        <v>PR:Games_____SP:Barney20171016   $1522  </v>
      </c>
      <c r="H326" s="14" t="str">
        <f aca="false">SUBSTITUTE(G326,"_"," ")</f>
        <v>PR:Games     SP:Barney20171016   $1522  </v>
      </c>
      <c r="I326" s="14" t="str">
        <f aca="false">TRIM(H326)</f>
        <v>PR:Games SP:Barney20171016 $1522</v>
      </c>
      <c r="J326" s="21" t="n">
        <f aca="false">LEN(I326)</f>
        <v>32</v>
      </c>
      <c r="K326" s="21" t="n">
        <f aca="false">CODE(RIGHT(I326,1))</f>
        <v>50</v>
      </c>
      <c r="L326" s="14" t="str">
        <f aca="false">SUBSTITUTE(I326,"PR:","")</f>
        <v>Games SP:Barney20171016 $1522</v>
      </c>
      <c r="M326" s="14" t="str">
        <f aca="false">SUBSTITUTE(L326,"SP:","")</f>
        <v>Games Barney20171016 $1522</v>
      </c>
      <c r="N326" s="15" t="str">
        <f aca="false">SUBSTITUTE(M326,"201710"," 201710")</f>
        <v>Games Barney 20171016 $1522</v>
      </c>
      <c r="O326" s="21" t="n">
        <f aca="false">FIND(" ",N326)</f>
        <v>6</v>
      </c>
      <c r="P326" s="21" t="n">
        <f aca="false">FIND(" ",N326,O326+1)</f>
        <v>13</v>
      </c>
      <c r="Q326" s="21" t="n">
        <f aca="false">FIND(" ",N326,P326+1)</f>
        <v>22</v>
      </c>
      <c r="R326" s="26" t="str">
        <f aca="false">LEFT(N326,O326-1)</f>
        <v>Games</v>
      </c>
      <c r="S326" s="26" t="str">
        <f aca="false">MID(N326,O326+1,P326-O326-1)</f>
        <v>Barney</v>
      </c>
      <c r="T326" s="26" t="str">
        <f aca="false">MID(N326,P326+1,Q326-P326-1)</f>
        <v>20171016</v>
      </c>
      <c r="U326" s="26" t="n">
        <f aca="false">VALUE(MID(N326,Q326+2,90))</f>
        <v>1522</v>
      </c>
      <c r="V326" s="27" t="n">
        <f aca="false">DATE(2017,10,MID(T326,7,2))</f>
        <v>43024</v>
      </c>
    </row>
    <row r="327" customFormat="false" ht="14.25" hidden="false" customHeight="false" outlineLevel="0" collapsed="false">
      <c r="A327" s="23" t="n">
        <f aca="false">A326+1</f>
        <v>323</v>
      </c>
      <c r="B327" s="14" t="s">
        <v>341</v>
      </c>
      <c r="C327" s="21" t="n">
        <f aca="false">CODE(RIGHT(B327,1))</f>
        <v>31</v>
      </c>
      <c r="D327" s="14" t="str">
        <f aca="false">CLEAN(B327)</f>
        <v>//PR:Music__SP:Carol20171019  $0 </v>
      </c>
      <c r="E327" s="21" t="n">
        <f aca="false">CODE(RIGHT(D327,1))</f>
        <v>32</v>
      </c>
      <c r="F327" s="14" t="str">
        <f aca="false">SUBSTITUTE(D327,_xlfn.UNICHAR(160)," ")</f>
        <v>//PR:Music__SP:Carol20171019  $0 </v>
      </c>
      <c r="G327" s="14" t="str">
        <f aca="false">SUBSTITUTE(F327,"/","")</f>
        <v>PR:Music__SP:Carol20171019  $0 </v>
      </c>
      <c r="H327" s="14" t="str">
        <f aca="false">SUBSTITUTE(G327,"_"," ")</f>
        <v>PR:Music  SP:Carol20171019  $0 </v>
      </c>
      <c r="I327" s="14" t="str">
        <f aca="false">TRIM(H327)</f>
        <v>PR:Music SP:Carol20171019 $0</v>
      </c>
      <c r="J327" s="21" t="n">
        <f aca="false">LEN(I327)</f>
        <v>28</v>
      </c>
      <c r="K327" s="21" t="n">
        <f aca="false">CODE(RIGHT(I327,1))</f>
        <v>48</v>
      </c>
      <c r="L327" s="14" t="str">
        <f aca="false">SUBSTITUTE(I327,"PR:","")</f>
        <v>Music SP:Carol20171019 $0</v>
      </c>
      <c r="M327" s="14" t="str">
        <f aca="false">SUBSTITUTE(L327,"SP:","")</f>
        <v>Music Carol20171019 $0</v>
      </c>
      <c r="N327" s="15" t="str">
        <f aca="false">SUBSTITUTE(M327,"201710"," 201710")</f>
        <v>Music Carol 20171019 $0</v>
      </c>
      <c r="O327" s="21" t="n">
        <f aca="false">FIND(" ",N327)</f>
        <v>6</v>
      </c>
      <c r="P327" s="21" t="n">
        <f aca="false">FIND(" ",N327,O327+1)</f>
        <v>12</v>
      </c>
      <c r="Q327" s="21" t="n">
        <f aca="false">FIND(" ",N327,P327+1)</f>
        <v>21</v>
      </c>
      <c r="R327" s="26" t="str">
        <f aca="false">LEFT(N327,O327-1)</f>
        <v>Music</v>
      </c>
      <c r="S327" s="26" t="str">
        <f aca="false">MID(N327,O327+1,P327-O327-1)</f>
        <v>Carol</v>
      </c>
      <c r="T327" s="26" t="str">
        <f aca="false">MID(N327,P327+1,Q327-P327-1)</f>
        <v>20171019</v>
      </c>
      <c r="U327" s="26" t="n">
        <f aca="false">VALUE(MID(N327,Q327+2,90))</f>
        <v>0</v>
      </c>
      <c r="V327" s="27" t="n">
        <f aca="false">DATE(2017,10,MID(T327,7,2))</f>
        <v>43027</v>
      </c>
    </row>
    <row r="328" customFormat="false" ht="14.25" hidden="false" customHeight="false" outlineLevel="0" collapsed="false">
      <c r="A328" s="23" t="n">
        <f aca="false">A327+1</f>
        <v>324</v>
      </c>
      <c r="B328" s="14" t="s">
        <v>342</v>
      </c>
      <c r="C328" s="21" t="n">
        <f aca="false">CODE(RIGHT(B328,1))</f>
        <v>30</v>
      </c>
      <c r="D328" s="14" t="str">
        <f aca="false">CLEAN(B328)</f>
        <v>//PR:Books____SP:Carol20171031  $900    </v>
      </c>
      <c r="E328" s="21" t="n">
        <f aca="false">CODE(RIGHT(D328,1))</f>
        <v>32</v>
      </c>
      <c r="F328" s="14" t="str">
        <f aca="false">SUBSTITUTE(D328,_xlfn.UNICHAR(160)," ")</f>
        <v>//PR:Books____SP:Carol20171031  $900    </v>
      </c>
      <c r="G328" s="14" t="str">
        <f aca="false">SUBSTITUTE(F328,"/","")</f>
        <v>PR:Books____SP:Carol20171031  $900    </v>
      </c>
      <c r="H328" s="14" t="str">
        <f aca="false">SUBSTITUTE(G328,"_"," ")</f>
        <v>PR:Books    SP:Carol20171031  $900    </v>
      </c>
      <c r="I328" s="14" t="str">
        <f aca="false">TRIM(H328)</f>
        <v>PR:Books SP:Carol20171031 $900</v>
      </c>
      <c r="J328" s="21" t="n">
        <f aca="false">LEN(I328)</f>
        <v>30</v>
      </c>
      <c r="K328" s="21" t="n">
        <f aca="false">CODE(RIGHT(I328,1))</f>
        <v>48</v>
      </c>
      <c r="L328" s="14" t="str">
        <f aca="false">SUBSTITUTE(I328,"PR:","")</f>
        <v>Books SP:Carol20171031 $900</v>
      </c>
      <c r="M328" s="14" t="str">
        <f aca="false">SUBSTITUTE(L328,"SP:","")</f>
        <v>Books Carol20171031 $900</v>
      </c>
      <c r="N328" s="15" t="str">
        <f aca="false">SUBSTITUTE(M328,"201710"," 201710")</f>
        <v>Books Carol 20171031 $900</v>
      </c>
      <c r="O328" s="21" t="n">
        <f aca="false">FIND(" ",N328)</f>
        <v>6</v>
      </c>
      <c r="P328" s="21" t="n">
        <f aca="false">FIND(" ",N328,O328+1)</f>
        <v>12</v>
      </c>
      <c r="Q328" s="21" t="n">
        <f aca="false">FIND(" ",N328,P328+1)</f>
        <v>21</v>
      </c>
      <c r="R328" s="26" t="str">
        <f aca="false">LEFT(N328,O328-1)</f>
        <v>Books</v>
      </c>
      <c r="S328" s="26" t="str">
        <f aca="false">MID(N328,O328+1,P328-O328-1)</f>
        <v>Carol</v>
      </c>
      <c r="T328" s="26" t="str">
        <f aca="false">MID(N328,P328+1,Q328-P328-1)</f>
        <v>20171031</v>
      </c>
      <c r="U328" s="26" t="n">
        <f aca="false">VALUE(MID(N328,Q328+2,90))</f>
        <v>900</v>
      </c>
      <c r="V328" s="27" t="n">
        <f aca="false">DATE(2017,10,MID(T328,7,2))</f>
        <v>43039</v>
      </c>
    </row>
    <row r="329" customFormat="false" ht="14.25" hidden="false" customHeight="false" outlineLevel="0" collapsed="false">
      <c r="A329" s="23" t="n">
        <f aca="false">A328+1</f>
        <v>325</v>
      </c>
      <c r="B329" s="14" t="s">
        <v>343</v>
      </c>
      <c r="C329" s="21" t="n">
        <f aca="false">CODE(RIGHT(B329,1))</f>
        <v>30</v>
      </c>
      <c r="D329" s="14" t="str">
        <f aca="false">CLEAN(B329)</f>
        <v>//PR:Music_____SP:Alice20171028     $0  </v>
      </c>
      <c r="E329" s="21" t="n">
        <f aca="false">CODE(RIGHT(D329,1))</f>
        <v>32</v>
      </c>
      <c r="F329" s="14" t="str">
        <f aca="false">SUBSTITUTE(D329,_xlfn.UNICHAR(160)," ")</f>
        <v>//PR:Music_____SP:Alice20171028     $0  </v>
      </c>
      <c r="G329" s="14" t="str">
        <f aca="false">SUBSTITUTE(F329,"/","")</f>
        <v>PR:Music_____SP:Alice20171028     $0  </v>
      </c>
      <c r="H329" s="14" t="str">
        <f aca="false">SUBSTITUTE(G329,"_"," ")</f>
        <v>PR:Music     SP:Alice20171028     $0  </v>
      </c>
      <c r="I329" s="14" t="str">
        <f aca="false">TRIM(H329)</f>
        <v>PR:Music SP:Alice20171028 $0</v>
      </c>
      <c r="J329" s="21" t="n">
        <f aca="false">LEN(I329)</f>
        <v>28</v>
      </c>
      <c r="K329" s="21" t="n">
        <f aca="false">CODE(RIGHT(I329,1))</f>
        <v>48</v>
      </c>
      <c r="L329" s="14" t="str">
        <f aca="false">SUBSTITUTE(I329,"PR:","")</f>
        <v>Music SP:Alice20171028 $0</v>
      </c>
      <c r="M329" s="14" t="str">
        <f aca="false">SUBSTITUTE(L329,"SP:","")</f>
        <v>Music Alice20171028 $0</v>
      </c>
      <c r="N329" s="15" t="str">
        <f aca="false">SUBSTITUTE(M329,"201710"," 201710")</f>
        <v>Music Alice 20171028 $0</v>
      </c>
      <c r="O329" s="21" t="n">
        <f aca="false">FIND(" ",N329)</f>
        <v>6</v>
      </c>
      <c r="P329" s="21" t="n">
        <f aca="false">FIND(" ",N329,O329+1)</f>
        <v>12</v>
      </c>
      <c r="Q329" s="21" t="n">
        <f aca="false">FIND(" ",N329,P329+1)</f>
        <v>21</v>
      </c>
      <c r="R329" s="26" t="str">
        <f aca="false">LEFT(N329,O329-1)</f>
        <v>Music</v>
      </c>
      <c r="S329" s="26" t="str">
        <f aca="false">MID(N329,O329+1,P329-O329-1)</f>
        <v>Alice</v>
      </c>
      <c r="T329" s="26" t="str">
        <f aca="false">MID(N329,P329+1,Q329-P329-1)</f>
        <v>20171028</v>
      </c>
      <c r="U329" s="26" t="n">
        <f aca="false">VALUE(MID(N329,Q329+2,90))</f>
        <v>0</v>
      </c>
      <c r="V329" s="27" t="n">
        <f aca="false">DATE(2017,10,MID(T329,7,2))</f>
        <v>43036</v>
      </c>
    </row>
    <row r="330" customFormat="false" ht="14.25" hidden="false" customHeight="false" outlineLevel="0" collapsed="false">
      <c r="A330" s="23" t="n">
        <f aca="false">A329+1</f>
        <v>326</v>
      </c>
      <c r="B330" s="14" t="s">
        <v>344</v>
      </c>
      <c r="C330" s="21" t="n">
        <f aca="false">CODE(RIGHT(B330,1))</f>
        <v>30</v>
      </c>
      <c r="D330" s="14" t="str">
        <f aca="false">CLEAN(B330)</f>
        <v>/PR:Books___SP:David2017107   $978    </v>
      </c>
      <c r="E330" s="21" t="n">
        <f aca="false">CODE(RIGHT(D330,1))</f>
        <v>32</v>
      </c>
      <c r="F330" s="14" t="str">
        <f aca="false">SUBSTITUTE(D330,_xlfn.UNICHAR(160)," ")</f>
        <v>/PR:Books___SP:David2017107   $978    </v>
      </c>
      <c r="G330" s="14" t="str">
        <f aca="false">SUBSTITUTE(F330,"/","")</f>
        <v>PR:Books___SP:David2017107   $978    </v>
      </c>
      <c r="H330" s="14" t="str">
        <f aca="false">SUBSTITUTE(G330,"_"," ")</f>
        <v>PR:Books   SP:David2017107   $978    </v>
      </c>
      <c r="I330" s="14" t="str">
        <f aca="false">TRIM(H330)</f>
        <v>PR:Books SP:David2017107 $978</v>
      </c>
      <c r="J330" s="21" t="n">
        <f aca="false">LEN(I330)</f>
        <v>29</v>
      </c>
      <c r="K330" s="21" t="n">
        <f aca="false">CODE(RIGHT(I330,1))</f>
        <v>56</v>
      </c>
      <c r="L330" s="14" t="str">
        <f aca="false">SUBSTITUTE(I330,"PR:","")</f>
        <v>Books SP:David2017107 $978</v>
      </c>
      <c r="M330" s="14" t="str">
        <f aca="false">SUBSTITUTE(L330,"SP:","")</f>
        <v>Books David2017107 $978</v>
      </c>
      <c r="N330" s="15" t="str">
        <f aca="false">SUBSTITUTE(M330,"201710"," 201710")</f>
        <v>Books David 2017107 $978</v>
      </c>
      <c r="O330" s="21" t="n">
        <f aca="false">FIND(" ",N330)</f>
        <v>6</v>
      </c>
      <c r="P330" s="21" t="n">
        <f aca="false">FIND(" ",N330,O330+1)</f>
        <v>12</v>
      </c>
      <c r="Q330" s="21" t="n">
        <f aca="false">FIND(" ",N330,P330+1)</f>
        <v>20</v>
      </c>
      <c r="R330" s="26" t="str">
        <f aca="false">LEFT(N330,O330-1)</f>
        <v>Books</v>
      </c>
      <c r="S330" s="26" t="str">
        <f aca="false">MID(N330,O330+1,P330-O330-1)</f>
        <v>David</v>
      </c>
      <c r="T330" s="26" t="str">
        <f aca="false">MID(N330,P330+1,Q330-P330-1)</f>
        <v>2017107</v>
      </c>
      <c r="U330" s="26" t="n">
        <f aca="false">VALUE(MID(N330,Q330+2,90))</f>
        <v>978</v>
      </c>
      <c r="V330" s="27" t="n">
        <f aca="false">DATE(2017,10,MID(T330,7,2))</f>
        <v>43015</v>
      </c>
    </row>
    <row r="331" customFormat="false" ht="14.25" hidden="false" customHeight="false" outlineLevel="0" collapsed="false">
      <c r="A331" s="23" t="n">
        <f aca="false">A330+1</f>
        <v>327</v>
      </c>
      <c r="B331" s="14" t="s">
        <v>345</v>
      </c>
      <c r="C331" s="21" t="n">
        <f aca="false">CODE(RIGHT(B331,1))</f>
        <v>30</v>
      </c>
      <c r="D331" s="14" t="str">
        <f aca="false">CLEAN(B331)</f>
        <v>/PR:Clothing__SP:Alice2017106    $680 </v>
      </c>
      <c r="E331" s="21" t="n">
        <f aca="false">CODE(RIGHT(D331,1))</f>
        <v>32</v>
      </c>
      <c r="F331" s="14" t="str">
        <f aca="false">SUBSTITUTE(D331,_xlfn.UNICHAR(160)," ")</f>
        <v>/PR:Clothing__SP:Alice2017106    $680 </v>
      </c>
      <c r="G331" s="14" t="str">
        <f aca="false">SUBSTITUTE(F331,"/","")</f>
        <v>PR:Clothing__SP:Alice2017106    $680 </v>
      </c>
      <c r="H331" s="14" t="str">
        <f aca="false">SUBSTITUTE(G331,"_"," ")</f>
        <v>PR:Clothing  SP:Alice2017106    $680 </v>
      </c>
      <c r="I331" s="14" t="str">
        <f aca="false">TRIM(H331)</f>
        <v>PR:Clothing SP:Alice2017106 $680</v>
      </c>
      <c r="J331" s="21" t="n">
        <f aca="false">LEN(I331)</f>
        <v>32</v>
      </c>
      <c r="K331" s="21" t="n">
        <f aca="false">CODE(RIGHT(I331,1))</f>
        <v>48</v>
      </c>
      <c r="L331" s="14" t="str">
        <f aca="false">SUBSTITUTE(I331,"PR:","")</f>
        <v>Clothing SP:Alice2017106 $680</v>
      </c>
      <c r="M331" s="14" t="str">
        <f aca="false">SUBSTITUTE(L331,"SP:","")</f>
        <v>Clothing Alice2017106 $680</v>
      </c>
      <c r="N331" s="15" t="str">
        <f aca="false">SUBSTITUTE(M331,"201710"," 201710")</f>
        <v>Clothing Alice 2017106 $680</v>
      </c>
      <c r="O331" s="21" t="n">
        <f aca="false">FIND(" ",N331)</f>
        <v>9</v>
      </c>
      <c r="P331" s="21" t="n">
        <f aca="false">FIND(" ",N331,O331+1)</f>
        <v>15</v>
      </c>
      <c r="Q331" s="21" t="n">
        <f aca="false">FIND(" ",N331,P331+1)</f>
        <v>23</v>
      </c>
      <c r="R331" s="26" t="str">
        <f aca="false">LEFT(N331,O331-1)</f>
        <v>Clothing</v>
      </c>
      <c r="S331" s="26" t="str">
        <f aca="false">MID(N331,O331+1,P331-O331-1)</f>
        <v>Alice</v>
      </c>
      <c r="T331" s="26" t="str">
        <f aca="false">MID(N331,P331+1,Q331-P331-1)</f>
        <v>2017106</v>
      </c>
      <c r="U331" s="26" t="n">
        <f aca="false">VALUE(MID(N331,Q331+2,90))</f>
        <v>680</v>
      </c>
      <c r="V331" s="27" t="n">
        <f aca="false">DATE(2017,10,MID(T331,7,2))</f>
        <v>43014</v>
      </c>
    </row>
    <row r="332" customFormat="false" ht="14.25" hidden="false" customHeight="false" outlineLevel="0" collapsed="false">
      <c r="A332" s="23" t="n">
        <f aca="false">A331+1</f>
        <v>328</v>
      </c>
      <c r="B332" s="14" t="s">
        <v>346</v>
      </c>
      <c r="C332" s="21" t="n">
        <f aca="false">CODE(RIGHT(B332,1))</f>
        <v>31</v>
      </c>
      <c r="D332" s="14" t="str">
        <f aca="false">CLEAN(B332)</f>
        <v>///PR:Games___SP:Barney20171017     $1489    </v>
      </c>
      <c r="E332" s="21" t="n">
        <f aca="false">CODE(RIGHT(D332,1))</f>
        <v>32</v>
      </c>
      <c r="F332" s="14" t="str">
        <f aca="false">SUBSTITUTE(D332,_xlfn.UNICHAR(160)," ")</f>
        <v>///PR:Games___SP:Barney20171017     $1489    </v>
      </c>
      <c r="G332" s="14" t="str">
        <f aca="false">SUBSTITUTE(F332,"/","")</f>
        <v>PR:Games___SP:Barney20171017     $1489    </v>
      </c>
      <c r="H332" s="14" t="str">
        <f aca="false">SUBSTITUTE(G332,"_"," ")</f>
        <v>PR:Games   SP:Barney20171017     $1489    </v>
      </c>
      <c r="I332" s="14" t="str">
        <f aca="false">TRIM(H332)</f>
        <v>PR:Games SP:Barney20171017 $1489</v>
      </c>
      <c r="J332" s="21" t="n">
        <f aca="false">LEN(I332)</f>
        <v>32</v>
      </c>
      <c r="K332" s="21" t="n">
        <f aca="false">CODE(RIGHT(I332,1))</f>
        <v>57</v>
      </c>
      <c r="L332" s="14" t="str">
        <f aca="false">SUBSTITUTE(I332,"PR:","")</f>
        <v>Games SP:Barney20171017 $1489</v>
      </c>
      <c r="M332" s="14" t="str">
        <f aca="false">SUBSTITUTE(L332,"SP:","")</f>
        <v>Games Barney20171017 $1489</v>
      </c>
      <c r="N332" s="15" t="str">
        <f aca="false">SUBSTITUTE(M332,"201710"," 201710")</f>
        <v>Games Barney 20171017 $1489</v>
      </c>
      <c r="O332" s="21" t="n">
        <f aca="false">FIND(" ",N332)</f>
        <v>6</v>
      </c>
      <c r="P332" s="21" t="n">
        <f aca="false">FIND(" ",N332,O332+1)</f>
        <v>13</v>
      </c>
      <c r="Q332" s="21" t="n">
        <f aca="false">FIND(" ",N332,P332+1)</f>
        <v>22</v>
      </c>
      <c r="R332" s="26" t="str">
        <f aca="false">LEFT(N332,O332-1)</f>
        <v>Games</v>
      </c>
      <c r="S332" s="26" t="str">
        <f aca="false">MID(N332,O332+1,P332-O332-1)</f>
        <v>Barney</v>
      </c>
      <c r="T332" s="26" t="str">
        <f aca="false">MID(N332,P332+1,Q332-P332-1)</f>
        <v>20171017</v>
      </c>
      <c r="U332" s="26" t="n">
        <f aca="false">VALUE(MID(N332,Q332+2,90))</f>
        <v>1489</v>
      </c>
      <c r="V332" s="27" t="n">
        <f aca="false">DATE(2017,10,MID(T332,7,2))</f>
        <v>43025</v>
      </c>
    </row>
    <row r="333" customFormat="false" ht="14.25" hidden="false" customHeight="false" outlineLevel="0" collapsed="false">
      <c r="A333" s="23" t="n">
        <f aca="false">A332+1</f>
        <v>329</v>
      </c>
      <c r="B333" s="14" t="s">
        <v>347</v>
      </c>
      <c r="C333" s="21" t="n">
        <f aca="false">CODE(RIGHT(B333,1))</f>
        <v>29</v>
      </c>
      <c r="D333" s="14" t="str">
        <f aca="false">CLEAN(B333)</f>
        <v>/////PR:Games____SP:Barney20171030     $0  </v>
      </c>
      <c r="E333" s="21" t="n">
        <f aca="false">CODE(RIGHT(D333,1))</f>
        <v>32</v>
      </c>
      <c r="F333" s="14" t="str">
        <f aca="false">SUBSTITUTE(D333,_xlfn.UNICHAR(160)," ")</f>
        <v>/////PR:Games____SP:Barney20171030     $0  </v>
      </c>
      <c r="G333" s="14" t="str">
        <f aca="false">SUBSTITUTE(F333,"/","")</f>
        <v>PR:Games____SP:Barney20171030     $0  </v>
      </c>
      <c r="H333" s="14" t="str">
        <f aca="false">SUBSTITUTE(G333,"_"," ")</f>
        <v>PR:Games    SP:Barney20171030     $0  </v>
      </c>
      <c r="I333" s="14" t="str">
        <f aca="false">TRIM(H333)</f>
        <v>PR:Games SP:Barney20171030 $0</v>
      </c>
      <c r="J333" s="21" t="n">
        <f aca="false">LEN(I333)</f>
        <v>29</v>
      </c>
      <c r="K333" s="21" t="n">
        <f aca="false">CODE(RIGHT(I333,1))</f>
        <v>48</v>
      </c>
      <c r="L333" s="14" t="str">
        <f aca="false">SUBSTITUTE(I333,"PR:","")</f>
        <v>Games SP:Barney20171030 $0</v>
      </c>
      <c r="M333" s="14" t="str">
        <f aca="false">SUBSTITUTE(L333,"SP:","")</f>
        <v>Games Barney20171030 $0</v>
      </c>
      <c r="N333" s="15" t="str">
        <f aca="false">SUBSTITUTE(M333,"201710"," 201710")</f>
        <v>Games Barney 20171030 $0</v>
      </c>
      <c r="O333" s="21" t="n">
        <f aca="false">FIND(" ",N333)</f>
        <v>6</v>
      </c>
      <c r="P333" s="21" t="n">
        <f aca="false">FIND(" ",N333,O333+1)</f>
        <v>13</v>
      </c>
      <c r="Q333" s="21" t="n">
        <f aca="false">FIND(" ",N333,P333+1)</f>
        <v>22</v>
      </c>
      <c r="R333" s="26" t="str">
        <f aca="false">LEFT(N333,O333-1)</f>
        <v>Games</v>
      </c>
      <c r="S333" s="26" t="str">
        <f aca="false">MID(N333,O333+1,P333-O333-1)</f>
        <v>Barney</v>
      </c>
      <c r="T333" s="26" t="str">
        <f aca="false">MID(N333,P333+1,Q333-P333-1)</f>
        <v>20171030</v>
      </c>
      <c r="U333" s="26" t="n">
        <f aca="false">VALUE(MID(N333,Q333+2,90))</f>
        <v>0</v>
      </c>
      <c r="V333" s="27" t="n">
        <f aca="false">DATE(2017,10,MID(T333,7,2))</f>
        <v>43038</v>
      </c>
    </row>
    <row r="334" customFormat="false" ht="14.25" hidden="false" customHeight="false" outlineLevel="0" collapsed="false">
      <c r="A334" s="23" t="n">
        <f aca="false">A333+1</f>
        <v>330</v>
      </c>
      <c r="B334" s="14" t="s">
        <v>348</v>
      </c>
      <c r="C334" s="21" t="n">
        <f aca="false">CODE(RIGHT(B334,1))</f>
        <v>30</v>
      </c>
      <c r="D334" s="14" t="str">
        <f aca="false">CLEAN(B334)</f>
        <v>/PR:Books_SP:Alice20171023 $0    </v>
      </c>
      <c r="E334" s="21" t="n">
        <f aca="false">CODE(RIGHT(D334,1))</f>
        <v>32</v>
      </c>
      <c r="F334" s="14" t="str">
        <f aca="false">SUBSTITUTE(D334,_xlfn.UNICHAR(160)," ")</f>
        <v>/PR:Books_SP:Alice20171023 $0    </v>
      </c>
      <c r="G334" s="14" t="str">
        <f aca="false">SUBSTITUTE(F334,"/","")</f>
        <v>PR:Books_SP:Alice20171023 $0    </v>
      </c>
      <c r="H334" s="14" t="str">
        <f aca="false">SUBSTITUTE(G334,"_"," ")</f>
        <v>PR:Books SP:Alice20171023 $0    </v>
      </c>
      <c r="I334" s="14" t="str">
        <f aca="false">TRIM(H334)</f>
        <v>PR:Books SP:Alice20171023 $0</v>
      </c>
      <c r="J334" s="21" t="n">
        <f aca="false">LEN(I334)</f>
        <v>28</v>
      </c>
      <c r="K334" s="21" t="n">
        <f aca="false">CODE(RIGHT(I334,1))</f>
        <v>48</v>
      </c>
      <c r="L334" s="14" t="str">
        <f aca="false">SUBSTITUTE(I334,"PR:","")</f>
        <v>Books SP:Alice20171023 $0</v>
      </c>
      <c r="M334" s="14" t="str">
        <f aca="false">SUBSTITUTE(L334,"SP:","")</f>
        <v>Books Alice20171023 $0</v>
      </c>
      <c r="N334" s="15" t="str">
        <f aca="false">SUBSTITUTE(M334,"201710"," 201710")</f>
        <v>Books Alice 20171023 $0</v>
      </c>
      <c r="O334" s="21" t="n">
        <f aca="false">FIND(" ",N334)</f>
        <v>6</v>
      </c>
      <c r="P334" s="21" t="n">
        <f aca="false">FIND(" ",N334,O334+1)</f>
        <v>12</v>
      </c>
      <c r="Q334" s="21" t="n">
        <f aca="false">FIND(" ",N334,P334+1)</f>
        <v>21</v>
      </c>
      <c r="R334" s="26" t="str">
        <f aca="false">LEFT(N334,O334-1)</f>
        <v>Books</v>
      </c>
      <c r="S334" s="26" t="str">
        <f aca="false">MID(N334,O334+1,P334-O334-1)</f>
        <v>Alice</v>
      </c>
      <c r="T334" s="26" t="str">
        <f aca="false">MID(N334,P334+1,Q334-P334-1)</f>
        <v>20171023</v>
      </c>
      <c r="U334" s="26" t="n">
        <f aca="false">VALUE(MID(N334,Q334+2,90))</f>
        <v>0</v>
      </c>
      <c r="V334" s="27" t="n">
        <f aca="false">DATE(2017,10,MID(T334,7,2))</f>
        <v>43031</v>
      </c>
    </row>
    <row r="335" customFormat="false" ht="14.25" hidden="false" customHeight="false" outlineLevel="0" collapsed="false">
      <c r="A335" s="23" t="n">
        <f aca="false">A334+1</f>
        <v>331</v>
      </c>
      <c r="B335" s="14" t="s">
        <v>349</v>
      </c>
      <c r="C335" s="21" t="n">
        <f aca="false">CODE(RIGHT(B335,1))</f>
        <v>30</v>
      </c>
      <c r="D335" s="14" t="str">
        <f aca="false">CLEAN(B335)</f>
        <v>////PR:Clothing__SP:David2017105 $0   </v>
      </c>
      <c r="E335" s="21" t="n">
        <f aca="false">CODE(RIGHT(D335,1))</f>
        <v>32</v>
      </c>
      <c r="F335" s="14" t="str">
        <f aca="false">SUBSTITUTE(D335,_xlfn.UNICHAR(160)," ")</f>
        <v>////PR:Clothing__SP:David2017105 $0   </v>
      </c>
      <c r="G335" s="14" t="str">
        <f aca="false">SUBSTITUTE(F335,"/","")</f>
        <v>PR:Clothing__SP:David2017105 $0   </v>
      </c>
      <c r="H335" s="14" t="str">
        <f aca="false">SUBSTITUTE(G335,"_"," ")</f>
        <v>PR:Clothing  SP:David2017105 $0   </v>
      </c>
      <c r="I335" s="14" t="str">
        <f aca="false">TRIM(H335)</f>
        <v>PR:Clothing SP:David2017105 $0</v>
      </c>
      <c r="J335" s="21" t="n">
        <f aca="false">LEN(I335)</f>
        <v>30</v>
      </c>
      <c r="K335" s="21" t="n">
        <f aca="false">CODE(RIGHT(I335,1))</f>
        <v>48</v>
      </c>
      <c r="L335" s="14" t="str">
        <f aca="false">SUBSTITUTE(I335,"PR:","")</f>
        <v>Clothing SP:David2017105 $0</v>
      </c>
      <c r="M335" s="14" t="str">
        <f aca="false">SUBSTITUTE(L335,"SP:","")</f>
        <v>Clothing David2017105 $0</v>
      </c>
      <c r="N335" s="15" t="str">
        <f aca="false">SUBSTITUTE(M335,"201710"," 201710")</f>
        <v>Clothing David 2017105 $0</v>
      </c>
      <c r="O335" s="21" t="n">
        <f aca="false">FIND(" ",N335)</f>
        <v>9</v>
      </c>
      <c r="P335" s="21" t="n">
        <f aca="false">FIND(" ",N335,O335+1)</f>
        <v>15</v>
      </c>
      <c r="Q335" s="21" t="n">
        <f aca="false">FIND(" ",N335,P335+1)</f>
        <v>23</v>
      </c>
      <c r="R335" s="26" t="str">
        <f aca="false">LEFT(N335,O335-1)</f>
        <v>Clothing</v>
      </c>
      <c r="S335" s="26" t="str">
        <f aca="false">MID(N335,O335+1,P335-O335-1)</f>
        <v>David</v>
      </c>
      <c r="T335" s="26" t="str">
        <f aca="false">MID(N335,P335+1,Q335-P335-1)</f>
        <v>2017105</v>
      </c>
      <c r="U335" s="26" t="n">
        <f aca="false">VALUE(MID(N335,Q335+2,90))</f>
        <v>0</v>
      </c>
      <c r="V335" s="27" t="n">
        <f aca="false">DATE(2017,10,MID(T335,7,2))</f>
        <v>43013</v>
      </c>
    </row>
    <row r="336" customFormat="false" ht="14.25" hidden="false" customHeight="false" outlineLevel="0" collapsed="false">
      <c r="A336" s="23" t="n">
        <f aca="false">A335+1</f>
        <v>332</v>
      </c>
      <c r="B336" s="14" t="s">
        <v>350</v>
      </c>
      <c r="C336" s="21" t="n">
        <f aca="false">CODE(RIGHT(B336,1))</f>
        <v>31</v>
      </c>
      <c r="D336" s="14" t="str">
        <f aca="false">CLEAN(B336)</f>
        <v>///PR:Books_SP:Alice2017105   $508 </v>
      </c>
      <c r="E336" s="21" t="n">
        <f aca="false">CODE(RIGHT(D336,1))</f>
        <v>32</v>
      </c>
      <c r="F336" s="14" t="str">
        <f aca="false">SUBSTITUTE(D336,_xlfn.UNICHAR(160)," ")</f>
        <v>///PR:Books_SP:Alice2017105   $508 </v>
      </c>
      <c r="G336" s="14" t="str">
        <f aca="false">SUBSTITUTE(F336,"/","")</f>
        <v>PR:Books_SP:Alice2017105   $508 </v>
      </c>
      <c r="H336" s="14" t="str">
        <f aca="false">SUBSTITUTE(G336,"_"," ")</f>
        <v>PR:Books SP:Alice2017105   $508 </v>
      </c>
      <c r="I336" s="14" t="str">
        <f aca="false">TRIM(H336)</f>
        <v>PR:Books SP:Alice2017105 $508</v>
      </c>
      <c r="J336" s="21" t="n">
        <f aca="false">LEN(I336)</f>
        <v>29</v>
      </c>
      <c r="K336" s="21" t="n">
        <f aca="false">CODE(RIGHT(I336,1))</f>
        <v>56</v>
      </c>
      <c r="L336" s="14" t="str">
        <f aca="false">SUBSTITUTE(I336,"PR:","")</f>
        <v>Books SP:Alice2017105 $508</v>
      </c>
      <c r="M336" s="14" t="str">
        <f aca="false">SUBSTITUTE(L336,"SP:","")</f>
        <v>Books Alice2017105 $508</v>
      </c>
      <c r="N336" s="15" t="str">
        <f aca="false">SUBSTITUTE(M336,"201710"," 201710")</f>
        <v>Books Alice 2017105 $508</v>
      </c>
      <c r="O336" s="21" t="n">
        <f aca="false">FIND(" ",N336)</f>
        <v>6</v>
      </c>
      <c r="P336" s="21" t="n">
        <f aca="false">FIND(" ",N336,O336+1)</f>
        <v>12</v>
      </c>
      <c r="Q336" s="21" t="n">
        <f aca="false">FIND(" ",N336,P336+1)</f>
        <v>20</v>
      </c>
      <c r="R336" s="26" t="str">
        <f aca="false">LEFT(N336,O336-1)</f>
        <v>Books</v>
      </c>
      <c r="S336" s="26" t="str">
        <f aca="false">MID(N336,O336+1,P336-O336-1)</f>
        <v>Alice</v>
      </c>
      <c r="T336" s="26" t="str">
        <f aca="false">MID(N336,P336+1,Q336-P336-1)</f>
        <v>2017105</v>
      </c>
      <c r="U336" s="26" t="n">
        <f aca="false">VALUE(MID(N336,Q336+2,90))</f>
        <v>508</v>
      </c>
      <c r="V336" s="27" t="n">
        <f aca="false">DATE(2017,10,MID(T336,7,2))</f>
        <v>43013</v>
      </c>
    </row>
    <row r="337" customFormat="false" ht="14.25" hidden="false" customHeight="false" outlineLevel="0" collapsed="false">
      <c r="A337" s="23" t="n">
        <f aca="false">A336+1</f>
        <v>333</v>
      </c>
      <c r="B337" s="14" t="s">
        <v>351</v>
      </c>
      <c r="C337" s="21" t="n">
        <f aca="false">CODE(RIGHT(B337,1))</f>
        <v>31</v>
      </c>
      <c r="D337" s="14" t="str">
        <f aca="false">CLEAN(B337)</f>
        <v>/////PR:Clothing_____SP:Barney20171026  $1793   </v>
      </c>
      <c r="E337" s="21" t="n">
        <f aca="false">CODE(RIGHT(D337,1))</f>
        <v>32</v>
      </c>
      <c r="F337" s="14" t="str">
        <f aca="false">SUBSTITUTE(D337,_xlfn.UNICHAR(160)," ")</f>
        <v>/////PR:Clothing_____SP:Barney20171026  $1793   </v>
      </c>
      <c r="G337" s="14" t="str">
        <f aca="false">SUBSTITUTE(F337,"/","")</f>
        <v>PR:Clothing_____SP:Barney20171026  $1793   </v>
      </c>
      <c r="H337" s="14" t="str">
        <f aca="false">SUBSTITUTE(G337,"_"," ")</f>
        <v>PR:Clothing     SP:Barney20171026  $1793   </v>
      </c>
      <c r="I337" s="14" t="str">
        <f aca="false">TRIM(H337)</f>
        <v>PR:Clothing SP:Barney20171026 $1793</v>
      </c>
      <c r="J337" s="21" t="n">
        <f aca="false">LEN(I337)</f>
        <v>35</v>
      </c>
      <c r="K337" s="21" t="n">
        <f aca="false">CODE(RIGHT(I337,1))</f>
        <v>51</v>
      </c>
      <c r="L337" s="14" t="str">
        <f aca="false">SUBSTITUTE(I337,"PR:","")</f>
        <v>Clothing SP:Barney20171026 $1793</v>
      </c>
      <c r="M337" s="14" t="str">
        <f aca="false">SUBSTITUTE(L337,"SP:","")</f>
        <v>Clothing Barney20171026 $1793</v>
      </c>
      <c r="N337" s="15" t="str">
        <f aca="false">SUBSTITUTE(M337,"201710"," 201710")</f>
        <v>Clothing Barney 20171026 $1793</v>
      </c>
      <c r="O337" s="21" t="n">
        <f aca="false">FIND(" ",N337)</f>
        <v>9</v>
      </c>
      <c r="P337" s="21" t="n">
        <f aca="false">FIND(" ",N337,O337+1)</f>
        <v>16</v>
      </c>
      <c r="Q337" s="21" t="n">
        <f aca="false">FIND(" ",N337,P337+1)</f>
        <v>25</v>
      </c>
      <c r="R337" s="26" t="str">
        <f aca="false">LEFT(N337,O337-1)</f>
        <v>Clothing</v>
      </c>
      <c r="S337" s="26" t="str">
        <f aca="false">MID(N337,O337+1,P337-O337-1)</f>
        <v>Barney</v>
      </c>
      <c r="T337" s="26" t="str">
        <f aca="false">MID(N337,P337+1,Q337-P337-1)</f>
        <v>20171026</v>
      </c>
      <c r="U337" s="26" t="n">
        <f aca="false">VALUE(MID(N337,Q337+2,90))</f>
        <v>1793</v>
      </c>
      <c r="V337" s="27" t="n">
        <f aca="false">DATE(2017,10,MID(T337,7,2))</f>
        <v>43034</v>
      </c>
    </row>
    <row r="338" customFormat="false" ht="14.25" hidden="false" customHeight="false" outlineLevel="0" collapsed="false">
      <c r="A338" s="23" t="n">
        <f aca="false">A337+1</f>
        <v>334</v>
      </c>
      <c r="B338" s="14" t="s">
        <v>352</v>
      </c>
      <c r="C338" s="21" t="n">
        <f aca="false">CODE(RIGHT(B338,1))</f>
        <v>29</v>
      </c>
      <c r="D338" s="14" t="str">
        <f aca="false">CLEAN(B338)</f>
        <v>/PR:Books_____SP:Barney2017107  $765    </v>
      </c>
      <c r="E338" s="21" t="n">
        <f aca="false">CODE(RIGHT(D338,1))</f>
        <v>32</v>
      </c>
      <c r="F338" s="14" t="str">
        <f aca="false">SUBSTITUTE(D338,_xlfn.UNICHAR(160)," ")</f>
        <v>/PR:Books_____SP:Barney2017107  $765    </v>
      </c>
      <c r="G338" s="14" t="str">
        <f aca="false">SUBSTITUTE(F338,"/","")</f>
        <v>PR:Books_____SP:Barney2017107  $765    </v>
      </c>
      <c r="H338" s="14" t="str">
        <f aca="false">SUBSTITUTE(G338,"_"," ")</f>
        <v>PR:Books     SP:Barney2017107  $765    </v>
      </c>
      <c r="I338" s="14" t="str">
        <f aca="false">TRIM(H338)</f>
        <v>PR:Books SP:Barney2017107 $765</v>
      </c>
      <c r="J338" s="21" t="n">
        <f aca="false">LEN(I338)</f>
        <v>30</v>
      </c>
      <c r="K338" s="21" t="n">
        <f aca="false">CODE(RIGHT(I338,1))</f>
        <v>53</v>
      </c>
      <c r="L338" s="14" t="str">
        <f aca="false">SUBSTITUTE(I338,"PR:","")</f>
        <v>Books SP:Barney2017107 $765</v>
      </c>
      <c r="M338" s="14" t="str">
        <f aca="false">SUBSTITUTE(L338,"SP:","")</f>
        <v>Books Barney2017107 $765</v>
      </c>
      <c r="N338" s="15" t="str">
        <f aca="false">SUBSTITUTE(M338,"201710"," 201710")</f>
        <v>Books Barney 2017107 $765</v>
      </c>
      <c r="O338" s="21" t="n">
        <f aca="false">FIND(" ",N338)</f>
        <v>6</v>
      </c>
      <c r="P338" s="21" t="n">
        <f aca="false">FIND(" ",N338,O338+1)</f>
        <v>13</v>
      </c>
      <c r="Q338" s="21" t="n">
        <f aca="false">FIND(" ",N338,P338+1)</f>
        <v>21</v>
      </c>
      <c r="R338" s="26" t="str">
        <f aca="false">LEFT(N338,O338-1)</f>
        <v>Books</v>
      </c>
      <c r="S338" s="26" t="str">
        <f aca="false">MID(N338,O338+1,P338-O338-1)</f>
        <v>Barney</v>
      </c>
      <c r="T338" s="26" t="str">
        <f aca="false">MID(N338,P338+1,Q338-P338-1)</f>
        <v>2017107</v>
      </c>
      <c r="U338" s="26" t="n">
        <f aca="false">VALUE(MID(N338,Q338+2,90))</f>
        <v>765</v>
      </c>
      <c r="V338" s="27" t="n">
        <f aca="false">DATE(2017,10,MID(T338,7,2))</f>
        <v>43015</v>
      </c>
    </row>
    <row r="339" customFormat="false" ht="14.25" hidden="false" customHeight="false" outlineLevel="0" collapsed="false">
      <c r="A339" s="23" t="n">
        <f aca="false">A338+1</f>
        <v>335</v>
      </c>
      <c r="B339" s="14" t="s">
        <v>353</v>
      </c>
      <c r="C339" s="21" t="n">
        <f aca="false">CODE(RIGHT(B339,1))</f>
        <v>31</v>
      </c>
      <c r="D339" s="14" t="str">
        <f aca="false">CLEAN(B339)</f>
        <v>//PR:Clothing_SP:Alice20171023  $1099    </v>
      </c>
      <c r="E339" s="21" t="n">
        <f aca="false">CODE(RIGHT(D339,1))</f>
        <v>32</v>
      </c>
      <c r="F339" s="14" t="str">
        <f aca="false">SUBSTITUTE(D339,_xlfn.UNICHAR(160)," ")</f>
        <v>//PR:Clothing_SP:Alice20171023  $1099    </v>
      </c>
      <c r="G339" s="14" t="str">
        <f aca="false">SUBSTITUTE(F339,"/","")</f>
        <v>PR:Clothing_SP:Alice20171023  $1099    </v>
      </c>
      <c r="H339" s="14" t="str">
        <f aca="false">SUBSTITUTE(G339,"_"," ")</f>
        <v>PR:Clothing SP:Alice20171023  $1099    </v>
      </c>
      <c r="I339" s="14" t="str">
        <f aca="false">TRIM(H339)</f>
        <v>PR:Clothing SP:Alice20171023 $1099</v>
      </c>
      <c r="J339" s="21" t="n">
        <f aca="false">LEN(I339)</f>
        <v>34</v>
      </c>
      <c r="K339" s="21" t="n">
        <f aca="false">CODE(RIGHT(I339,1))</f>
        <v>57</v>
      </c>
      <c r="L339" s="14" t="str">
        <f aca="false">SUBSTITUTE(I339,"PR:","")</f>
        <v>Clothing SP:Alice20171023 $1099</v>
      </c>
      <c r="M339" s="14" t="str">
        <f aca="false">SUBSTITUTE(L339,"SP:","")</f>
        <v>Clothing Alice20171023 $1099</v>
      </c>
      <c r="N339" s="15" t="str">
        <f aca="false">SUBSTITUTE(M339,"201710"," 201710")</f>
        <v>Clothing Alice 20171023 $1099</v>
      </c>
      <c r="O339" s="21" t="n">
        <f aca="false">FIND(" ",N339)</f>
        <v>9</v>
      </c>
      <c r="P339" s="21" t="n">
        <f aca="false">FIND(" ",N339,O339+1)</f>
        <v>15</v>
      </c>
      <c r="Q339" s="21" t="n">
        <f aca="false">FIND(" ",N339,P339+1)</f>
        <v>24</v>
      </c>
      <c r="R339" s="26" t="str">
        <f aca="false">LEFT(N339,O339-1)</f>
        <v>Clothing</v>
      </c>
      <c r="S339" s="26" t="str">
        <f aca="false">MID(N339,O339+1,P339-O339-1)</f>
        <v>Alice</v>
      </c>
      <c r="T339" s="26" t="str">
        <f aca="false">MID(N339,P339+1,Q339-P339-1)</f>
        <v>20171023</v>
      </c>
      <c r="U339" s="26" t="n">
        <f aca="false">VALUE(MID(N339,Q339+2,90))</f>
        <v>1099</v>
      </c>
      <c r="V339" s="27" t="n">
        <f aca="false">DATE(2017,10,MID(T339,7,2))</f>
        <v>43031</v>
      </c>
    </row>
    <row r="340" customFormat="false" ht="14.25" hidden="false" customHeight="false" outlineLevel="0" collapsed="false">
      <c r="A340" s="23" t="n">
        <f aca="false">A339+1</f>
        <v>336</v>
      </c>
      <c r="B340" s="14" t="s">
        <v>354</v>
      </c>
      <c r="C340" s="21" t="n">
        <f aca="false">CODE(RIGHT(B340,1))</f>
        <v>30</v>
      </c>
      <c r="D340" s="14" t="str">
        <f aca="false">CLEAN(B340)</f>
        <v>////PR:Clothing_____SP:David2017101  $610     </v>
      </c>
      <c r="E340" s="21" t="n">
        <f aca="false">CODE(RIGHT(D340,1))</f>
        <v>32</v>
      </c>
      <c r="F340" s="14" t="str">
        <f aca="false">SUBSTITUTE(D340,_xlfn.UNICHAR(160)," ")</f>
        <v>////PR:Clothing_____SP:David2017101  $610     </v>
      </c>
      <c r="G340" s="14" t="str">
        <f aca="false">SUBSTITUTE(F340,"/","")</f>
        <v>PR:Clothing_____SP:David2017101  $610     </v>
      </c>
      <c r="H340" s="14" t="str">
        <f aca="false">SUBSTITUTE(G340,"_"," ")</f>
        <v>PR:Clothing     SP:David2017101  $610     </v>
      </c>
      <c r="I340" s="14" t="str">
        <f aca="false">TRIM(H340)</f>
        <v>PR:Clothing SP:David2017101 $610</v>
      </c>
      <c r="J340" s="21" t="n">
        <f aca="false">LEN(I340)</f>
        <v>32</v>
      </c>
      <c r="K340" s="21" t="n">
        <f aca="false">CODE(RIGHT(I340,1))</f>
        <v>48</v>
      </c>
      <c r="L340" s="14" t="str">
        <f aca="false">SUBSTITUTE(I340,"PR:","")</f>
        <v>Clothing SP:David2017101 $610</v>
      </c>
      <c r="M340" s="14" t="str">
        <f aca="false">SUBSTITUTE(L340,"SP:","")</f>
        <v>Clothing David2017101 $610</v>
      </c>
      <c r="N340" s="15" t="str">
        <f aca="false">SUBSTITUTE(M340,"201710"," 201710")</f>
        <v>Clothing David 2017101 $610</v>
      </c>
      <c r="O340" s="21" t="n">
        <f aca="false">FIND(" ",N340)</f>
        <v>9</v>
      </c>
      <c r="P340" s="21" t="n">
        <f aca="false">FIND(" ",N340,O340+1)</f>
        <v>15</v>
      </c>
      <c r="Q340" s="21" t="n">
        <f aca="false">FIND(" ",N340,P340+1)</f>
        <v>23</v>
      </c>
      <c r="R340" s="26" t="str">
        <f aca="false">LEFT(N340,O340-1)</f>
        <v>Clothing</v>
      </c>
      <c r="S340" s="26" t="str">
        <f aca="false">MID(N340,O340+1,P340-O340-1)</f>
        <v>David</v>
      </c>
      <c r="T340" s="26" t="str">
        <f aca="false">MID(N340,P340+1,Q340-P340-1)</f>
        <v>2017101</v>
      </c>
      <c r="U340" s="26" t="n">
        <f aca="false">VALUE(MID(N340,Q340+2,90))</f>
        <v>610</v>
      </c>
      <c r="V340" s="27" t="n">
        <f aca="false">DATE(2017,10,MID(T340,7,2))</f>
        <v>43009</v>
      </c>
    </row>
    <row r="341" customFormat="false" ht="14.25" hidden="false" customHeight="false" outlineLevel="0" collapsed="false">
      <c r="A341" s="23" t="n">
        <f aca="false">A340+1</f>
        <v>337</v>
      </c>
      <c r="B341" s="14" t="s">
        <v>355</v>
      </c>
      <c r="C341" s="21" t="n">
        <f aca="false">CODE(RIGHT(B341,1))</f>
        <v>30</v>
      </c>
      <c r="D341" s="14" t="str">
        <f aca="false">CLEAN(B341)</f>
        <v>//PR:Music__SP:Barney20171024  $1157     </v>
      </c>
      <c r="E341" s="21" t="n">
        <f aca="false">CODE(RIGHT(D341,1))</f>
        <v>32</v>
      </c>
      <c r="F341" s="14" t="str">
        <f aca="false">SUBSTITUTE(D341,_xlfn.UNICHAR(160)," ")</f>
        <v>//PR:Music__SP:Barney20171024  $1157     </v>
      </c>
      <c r="G341" s="14" t="str">
        <f aca="false">SUBSTITUTE(F341,"/","")</f>
        <v>PR:Music__SP:Barney20171024  $1157     </v>
      </c>
      <c r="H341" s="14" t="str">
        <f aca="false">SUBSTITUTE(G341,"_"," ")</f>
        <v>PR:Music  SP:Barney20171024  $1157     </v>
      </c>
      <c r="I341" s="14" t="str">
        <f aca="false">TRIM(H341)</f>
        <v>PR:Music SP:Barney20171024 $1157</v>
      </c>
      <c r="J341" s="21" t="n">
        <f aca="false">LEN(I341)</f>
        <v>32</v>
      </c>
      <c r="K341" s="21" t="n">
        <f aca="false">CODE(RIGHT(I341,1))</f>
        <v>55</v>
      </c>
      <c r="L341" s="14" t="str">
        <f aca="false">SUBSTITUTE(I341,"PR:","")</f>
        <v>Music SP:Barney20171024 $1157</v>
      </c>
      <c r="M341" s="14" t="str">
        <f aca="false">SUBSTITUTE(L341,"SP:","")</f>
        <v>Music Barney20171024 $1157</v>
      </c>
      <c r="N341" s="15" t="str">
        <f aca="false">SUBSTITUTE(M341,"201710"," 201710")</f>
        <v>Music Barney 20171024 $1157</v>
      </c>
      <c r="O341" s="21" t="n">
        <f aca="false">FIND(" ",N341)</f>
        <v>6</v>
      </c>
      <c r="P341" s="21" t="n">
        <f aca="false">FIND(" ",N341,O341+1)</f>
        <v>13</v>
      </c>
      <c r="Q341" s="21" t="n">
        <f aca="false">FIND(" ",N341,P341+1)</f>
        <v>22</v>
      </c>
      <c r="R341" s="26" t="str">
        <f aca="false">LEFT(N341,O341-1)</f>
        <v>Music</v>
      </c>
      <c r="S341" s="26" t="str">
        <f aca="false">MID(N341,O341+1,P341-O341-1)</f>
        <v>Barney</v>
      </c>
      <c r="T341" s="26" t="str">
        <f aca="false">MID(N341,P341+1,Q341-P341-1)</f>
        <v>20171024</v>
      </c>
      <c r="U341" s="26" t="n">
        <f aca="false">VALUE(MID(N341,Q341+2,90))</f>
        <v>1157</v>
      </c>
      <c r="V341" s="27" t="n">
        <f aca="false">DATE(2017,10,MID(T341,7,2))</f>
        <v>43032</v>
      </c>
    </row>
    <row r="342" customFormat="false" ht="14.25" hidden="false" customHeight="false" outlineLevel="0" collapsed="false">
      <c r="A342" s="23" t="n">
        <f aca="false">A341+1</f>
        <v>338</v>
      </c>
      <c r="B342" s="14" t="s">
        <v>356</v>
      </c>
      <c r="C342" s="21" t="n">
        <f aca="false">CODE(RIGHT(B342,1))</f>
        <v>28</v>
      </c>
      <c r="D342" s="14" t="str">
        <f aca="false">CLEAN(B342)</f>
        <v>///PR:Clothing_____SP:Barney20171022 $845  </v>
      </c>
      <c r="E342" s="21" t="n">
        <f aca="false">CODE(RIGHT(D342,1))</f>
        <v>32</v>
      </c>
      <c r="F342" s="14" t="str">
        <f aca="false">SUBSTITUTE(D342,_xlfn.UNICHAR(160)," ")</f>
        <v>///PR:Clothing_____SP:Barney20171022 $845  </v>
      </c>
      <c r="G342" s="14" t="str">
        <f aca="false">SUBSTITUTE(F342,"/","")</f>
        <v>PR:Clothing_____SP:Barney20171022 $845  </v>
      </c>
      <c r="H342" s="14" t="str">
        <f aca="false">SUBSTITUTE(G342,"_"," ")</f>
        <v>PR:Clothing     SP:Barney20171022 $845  </v>
      </c>
      <c r="I342" s="14" t="str">
        <f aca="false">TRIM(H342)</f>
        <v>PR:Clothing SP:Barney20171022 $845</v>
      </c>
      <c r="J342" s="21" t="n">
        <f aca="false">LEN(I342)</f>
        <v>34</v>
      </c>
      <c r="K342" s="21" t="n">
        <f aca="false">CODE(RIGHT(I342,1))</f>
        <v>53</v>
      </c>
      <c r="L342" s="14" t="str">
        <f aca="false">SUBSTITUTE(I342,"PR:","")</f>
        <v>Clothing SP:Barney20171022 $845</v>
      </c>
      <c r="M342" s="14" t="str">
        <f aca="false">SUBSTITUTE(L342,"SP:","")</f>
        <v>Clothing Barney20171022 $845</v>
      </c>
      <c r="N342" s="15" t="str">
        <f aca="false">SUBSTITUTE(M342,"201710"," 201710")</f>
        <v>Clothing Barney 20171022 $845</v>
      </c>
      <c r="O342" s="21" t="n">
        <f aca="false">FIND(" ",N342)</f>
        <v>9</v>
      </c>
      <c r="P342" s="21" t="n">
        <f aca="false">FIND(" ",N342,O342+1)</f>
        <v>16</v>
      </c>
      <c r="Q342" s="21" t="n">
        <f aca="false">FIND(" ",N342,P342+1)</f>
        <v>25</v>
      </c>
      <c r="R342" s="26" t="str">
        <f aca="false">LEFT(N342,O342-1)</f>
        <v>Clothing</v>
      </c>
      <c r="S342" s="26" t="str">
        <f aca="false">MID(N342,O342+1,P342-O342-1)</f>
        <v>Barney</v>
      </c>
      <c r="T342" s="26" t="str">
        <f aca="false">MID(N342,P342+1,Q342-P342-1)</f>
        <v>20171022</v>
      </c>
      <c r="U342" s="26" t="n">
        <f aca="false">VALUE(MID(N342,Q342+2,90))</f>
        <v>845</v>
      </c>
      <c r="V342" s="27" t="n">
        <f aca="false">DATE(2017,10,MID(T342,7,2))</f>
        <v>43030</v>
      </c>
    </row>
    <row r="343" customFormat="false" ht="14.25" hidden="false" customHeight="false" outlineLevel="0" collapsed="false">
      <c r="A343" s="23" t="n">
        <f aca="false">A342+1</f>
        <v>339</v>
      </c>
      <c r="B343" s="14" t="s">
        <v>357</v>
      </c>
      <c r="C343" s="21" t="n">
        <f aca="false">CODE(RIGHT(B343,1))</f>
        <v>30</v>
      </c>
      <c r="D343" s="14" t="str">
        <f aca="false">CLEAN(B343)</f>
        <v>/////PR:Games_SP:Barney20171031     $1381   </v>
      </c>
      <c r="E343" s="21" t="n">
        <f aca="false">CODE(RIGHT(D343,1))</f>
        <v>32</v>
      </c>
      <c r="F343" s="14" t="str">
        <f aca="false">SUBSTITUTE(D343,_xlfn.UNICHAR(160)," ")</f>
        <v>/////PR:Games_SP:Barney20171031     $1381   </v>
      </c>
      <c r="G343" s="14" t="str">
        <f aca="false">SUBSTITUTE(F343,"/","")</f>
        <v>PR:Games_SP:Barney20171031     $1381   </v>
      </c>
      <c r="H343" s="14" t="str">
        <f aca="false">SUBSTITUTE(G343,"_"," ")</f>
        <v>PR:Games SP:Barney20171031     $1381   </v>
      </c>
      <c r="I343" s="14" t="str">
        <f aca="false">TRIM(H343)</f>
        <v>PR:Games SP:Barney20171031 $1381</v>
      </c>
      <c r="J343" s="21" t="n">
        <f aca="false">LEN(I343)</f>
        <v>32</v>
      </c>
      <c r="K343" s="21" t="n">
        <f aca="false">CODE(RIGHT(I343,1))</f>
        <v>49</v>
      </c>
      <c r="L343" s="14" t="str">
        <f aca="false">SUBSTITUTE(I343,"PR:","")</f>
        <v>Games SP:Barney20171031 $1381</v>
      </c>
      <c r="M343" s="14" t="str">
        <f aca="false">SUBSTITUTE(L343,"SP:","")</f>
        <v>Games Barney20171031 $1381</v>
      </c>
      <c r="N343" s="15" t="str">
        <f aca="false">SUBSTITUTE(M343,"201710"," 201710")</f>
        <v>Games Barney 20171031 $1381</v>
      </c>
      <c r="O343" s="21" t="n">
        <f aca="false">FIND(" ",N343)</f>
        <v>6</v>
      </c>
      <c r="P343" s="21" t="n">
        <f aca="false">FIND(" ",N343,O343+1)</f>
        <v>13</v>
      </c>
      <c r="Q343" s="21" t="n">
        <f aca="false">FIND(" ",N343,P343+1)</f>
        <v>22</v>
      </c>
      <c r="R343" s="26" t="str">
        <f aca="false">LEFT(N343,O343-1)</f>
        <v>Games</v>
      </c>
      <c r="S343" s="26" t="str">
        <f aca="false">MID(N343,O343+1,P343-O343-1)</f>
        <v>Barney</v>
      </c>
      <c r="T343" s="26" t="str">
        <f aca="false">MID(N343,P343+1,Q343-P343-1)</f>
        <v>20171031</v>
      </c>
      <c r="U343" s="26" t="n">
        <f aca="false">VALUE(MID(N343,Q343+2,90))</f>
        <v>1381</v>
      </c>
      <c r="V343" s="27" t="n">
        <f aca="false">DATE(2017,10,MID(T343,7,2))</f>
        <v>43039</v>
      </c>
    </row>
    <row r="344" customFormat="false" ht="14.25" hidden="false" customHeight="false" outlineLevel="0" collapsed="false">
      <c r="A344" s="23" t="n">
        <f aca="false">A343+1</f>
        <v>340</v>
      </c>
      <c r="B344" s="14" t="s">
        <v>358</v>
      </c>
      <c r="C344" s="21" t="n">
        <f aca="false">CODE(RIGHT(B344,1))</f>
        <v>30</v>
      </c>
      <c r="D344" s="14" t="str">
        <f aca="false">CLEAN(B344)</f>
        <v>////PR:Games_SP:David2017109 $1960   </v>
      </c>
      <c r="E344" s="21" t="n">
        <f aca="false">CODE(RIGHT(D344,1))</f>
        <v>32</v>
      </c>
      <c r="F344" s="14" t="str">
        <f aca="false">SUBSTITUTE(D344,_xlfn.UNICHAR(160)," ")</f>
        <v>////PR:Games_SP:David2017109 $1960   </v>
      </c>
      <c r="G344" s="14" t="str">
        <f aca="false">SUBSTITUTE(F344,"/","")</f>
        <v>PR:Games_SP:David2017109 $1960   </v>
      </c>
      <c r="H344" s="14" t="str">
        <f aca="false">SUBSTITUTE(G344,"_"," ")</f>
        <v>PR:Games SP:David2017109 $1960   </v>
      </c>
      <c r="I344" s="14" t="str">
        <f aca="false">TRIM(H344)</f>
        <v>PR:Games SP:David2017109 $1960</v>
      </c>
      <c r="J344" s="21" t="n">
        <f aca="false">LEN(I344)</f>
        <v>30</v>
      </c>
      <c r="K344" s="21" t="n">
        <f aca="false">CODE(RIGHT(I344,1))</f>
        <v>48</v>
      </c>
      <c r="L344" s="14" t="str">
        <f aca="false">SUBSTITUTE(I344,"PR:","")</f>
        <v>Games SP:David2017109 $1960</v>
      </c>
      <c r="M344" s="14" t="str">
        <f aca="false">SUBSTITUTE(L344,"SP:","")</f>
        <v>Games David2017109 $1960</v>
      </c>
      <c r="N344" s="15" t="str">
        <f aca="false">SUBSTITUTE(M344,"201710"," 201710")</f>
        <v>Games David 2017109 $1960</v>
      </c>
      <c r="O344" s="21" t="n">
        <f aca="false">FIND(" ",N344)</f>
        <v>6</v>
      </c>
      <c r="P344" s="21" t="n">
        <f aca="false">FIND(" ",N344,O344+1)</f>
        <v>12</v>
      </c>
      <c r="Q344" s="21" t="n">
        <f aca="false">FIND(" ",N344,P344+1)</f>
        <v>20</v>
      </c>
      <c r="R344" s="26" t="str">
        <f aca="false">LEFT(N344,O344-1)</f>
        <v>Games</v>
      </c>
      <c r="S344" s="26" t="str">
        <f aca="false">MID(N344,O344+1,P344-O344-1)</f>
        <v>David</v>
      </c>
      <c r="T344" s="26" t="str">
        <f aca="false">MID(N344,P344+1,Q344-P344-1)</f>
        <v>2017109</v>
      </c>
      <c r="U344" s="26" t="n">
        <f aca="false">VALUE(MID(N344,Q344+2,90))</f>
        <v>1960</v>
      </c>
      <c r="V344" s="27" t="n">
        <f aca="false">DATE(2017,10,MID(T344,7,2))</f>
        <v>43017</v>
      </c>
    </row>
    <row r="345" customFormat="false" ht="14.25" hidden="false" customHeight="false" outlineLevel="0" collapsed="false">
      <c r="A345" s="23" t="n">
        <f aca="false">A344+1</f>
        <v>341</v>
      </c>
      <c r="B345" s="14" t="s">
        <v>359</v>
      </c>
      <c r="C345" s="21" t="n">
        <f aca="false">CODE(RIGHT(B345,1))</f>
        <v>31</v>
      </c>
      <c r="D345" s="14" t="str">
        <f aca="false">CLEAN(B345)</f>
        <v>/////PR:Games_____SP:Barney2017103  $1957   </v>
      </c>
      <c r="E345" s="21" t="n">
        <f aca="false">CODE(RIGHT(D345,1))</f>
        <v>32</v>
      </c>
      <c r="F345" s="14" t="str">
        <f aca="false">SUBSTITUTE(D345,_xlfn.UNICHAR(160)," ")</f>
        <v>/////PR:Games_____SP:Barney2017103  $1957   </v>
      </c>
      <c r="G345" s="14" t="str">
        <f aca="false">SUBSTITUTE(F345,"/","")</f>
        <v>PR:Games_____SP:Barney2017103  $1957   </v>
      </c>
      <c r="H345" s="14" t="str">
        <f aca="false">SUBSTITUTE(G345,"_"," ")</f>
        <v>PR:Games     SP:Barney2017103  $1957   </v>
      </c>
      <c r="I345" s="14" t="str">
        <f aca="false">TRIM(H345)</f>
        <v>PR:Games SP:Barney2017103 $1957</v>
      </c>
      <c r="J345" s="21" t="n">
        <f aca="false">LEN(I345)</f>
        <v>31</v>
      </c>
      <c r="K345" s="21" t="n">
        <f aca="false">CODE(RIGHT(I345,1))</f>
        <v>55</v>
      </c>
      <c r="L345" s="14" t="str">
        <f aca="false">SUBSTITUTE(I345,"PR:","")</f>
        <v>Games SP:Barney2017103 $1957</v>
      </c>
      <c r="M345" s="14" t="str">
        <f aca="false">SUBSTITUTE(L345,"SP:","")</f>
        <v>Games Barney2017103 $1957</v>
      </c>
      <c r="N345" s="15" t="str">
        <f aca="false">SUBSTITUTE(M345,"201710"," 201710")</f>
        <v>Games Barney 2017103 $1957</v>
      </c>
      <c r="O345" s="21" t="n">
        <f aca="false">FIND(" ",N345)</f>
        <v>6</v>
      </c>
      <c r="P345" s="21" t="n">
        <f aca="false">FIND(" ",N345,O345+1)</f>
        <v>13</v>
      </c>
      <c r="Q345" s="21" t="n">
        <f aca="false">FIND(" ",N345,P345+1)</f>
        <v>21</v>
      </c>
      <c r="R345" s="26" t="str">
        <f aca="false">LEFT(N345,O345-1)</f>
        <v>Games</v>
      </c>
      <c r="S345" s="26" t="str">
        <f aca="false">MID(N345,O345+1,P345-O345-1)</f>
        <v>Barney</v>
      </c>
      <c r="T345" s="26" t="str">
        <f aca="false">MID(N345,P345+1,Q345-P345-1)</f>
        <v>2017103</v>
      </c>
      <c r="U345" s="26" t="n">
        <f aca="false">VALUE(MID(N345,Q345+2,90))</f>
        <v>1957</v>
      </c>
      <c r="V345" s="27" t="n">
        <f aca="false">DATE(2017,10,MID(T345,7,2))</f>
        <v>43011</v>
      </c>
    </row>
    <row r="346" customFormat="false" ht="14.25" hidden="false" customHeight="false" outlineLevel="0" collapsed="false">
      <c r="A346" s="23" t="n">
        <f aca="false">A345+1</f>
        <v>342</v>
      </c>
      <c r="B346" s="14" t="s">
        <v>360</v>
      </c>
      <c r="C346" s="21" t="n">
        <f aca="false">CODE(RIGHT(B346,1))</f>
        <v>29</v>
      </c>
      <c r="D346" s="14" t="str">
        <f aca="false">CLEAN(B346)</f>
        <v>///PR:Music_SP:David20171031     $1247    </v>
      </c>
      <c r="E346" s="21" t="n">
        <f aca="false">CODE(RIGHT(D346,1))</f>
        <v>32</v>
      </c>
      <c r="F346" s="14" t="str">
        <f aca="false">SUBSTITUTE(D346,_xlfn.UNICHAR(160)," ")</f>
        <v>///PR:Music_SP:David20171031     $1247    </v>
      </c>
      <c r="G346" s="14" t="str">
        <f aca="false">SUBSTITUTE(F346,"/","")</f>
        <v>PR:Music_SP:David20171031     $1247    </v>
      </c>
      <c r="H346" s="14" t="str">
        <f aca="false">SUBSTITUTE(G346,"_"," ")</f>
        <v>PR:Music SP:David20171031     $1247    </v>
      </c>
      <c r="I346" s="14" t="str">
        <f aca="false">TRIM(H346)</f>
        <v>PR:Music SP:David20171031 $1247</v>
      </c>
      <c r="J346" s="21" t="n">
        <f aca="false">LEN(I346)</f>
        <v>31</v>
      </c>
      <c r="K346" s="21" t="n">
        <f aca="false">CODE(RIGHT(I346,1))</f>
        <v>55</v>
      </c>
      <c r="L346" s="14" t="str">
        <f aca="false">SUBSTITUTE(I346,"PR:","")</f>
        <v>Music SP:David20171031 $1247</v>
      </c>
      <c r="M346" s="14" t="str">
        <f aca="false">SUBSTITUTE(L346,"SP:","")</f>
        <v>Music David20171031 $1247</v>
      </c>
      <c r="N346" s="15" t="str">
        <f aca="false">SUBSTITUTE(M346,"201710"," 201710")</f>
        <v>Music David 20171031 $1247</v>
      </c>
      <c r="O346" s="21" t="n">
        <f aca="false">FIND(" ",N346)</f>
        <v>6</v>
      </c>
      <c r="P346" s="21" t="n">
        <f aca="false">FIND(" ",N346,O346+1)</f>
        <v>12</v>
      </c>
      <c r="Q346" s="21" t="n">
        <f aca="false">FIND(" ",N346,P346+1)</f>
        <v>21</v>
      </c>
      <c r="R346" s="26" t="str">
        <f aca="false">LEFT(N346,O346-1)</f>
        <v>Music</v>
      </c>
      <c r="S346" s="26" t="str">
        <f aca="false">MID(N346,O346+1,P346-O346-1)</f>
        <v>David</v>
      </c>
      <c r="T346" s="26" t="str">
        <f aca="false">MID(N346,P346+1,Q346-P346-1)</f>
        <v>20171031</v>
      </c>
      <c r="U346" s="26" t="n">
        <f aca="false">VALUE(MID(N346,Q346+2,90))</f>
        <v>1247</v>
      </c>
      <c r="V346" s="27" t="n">
        <f aca="false">DATE(2017,10,MID(T346,7,2))</f>
        <v>43039</v>
      </c>
    </row>
    <row r="347" customFormat="false" ht="14.25" hidden="false" customHeight="false" outlineLevel="0" collapsed="false">
      <c r="A347" s="23" t="n">
        <f aca="false">A346+1</f>
        <v>343</v>
      </c>
      <c r="B347" s="14" t="s">
        <v>361</v>
      </c>
      <c r="C347" s="21" t="n">
        <f aca="false">CODE(RIGHT(B347,1))</f>
        <v>31</v>
      </c>
      <c r="D347" s="14" t="str">
        <f aca="false">CLEAN(B347)</f>
        <v>//PR:Games__SP:Barney2017108  $1478  </v>
      </c>
      <c r="E347" s="21" t="n">
        <f aca="false">CODE(RIGHT(D347,1))</f>
        <v>32</v>
      </c>
      <c r="F347" s="14" t="str">
        <f aca="false">SUBSTITUTE(D347,_xlfn.UNICHAR(160)," ")</f>
        <v>//PR:Games__SP:Barney2017108  $1478  </v>
      </c>
      <c r="G347" s="14" t="str">
        <f aca="false">SUBSTITUTE(F347,"/","")</f>
        <v>PR:Games__SP:Barney2017108  $1478  </v>
      </c>
      <c r="H347" s="14" t="str">
        <f aca="false">SUBSTITUTE(G347,"_"," ")</f>
        <v>PR:Games  SP:Barney2017108  $1478  </v>
      </c>
      <c r="I347" s="14" t="str">
        <f aca="false">TRIM(H347)</f>
        <v>PR:Games SP:Barney2017108 $1478</v>
      </c>
      <c r="J347" s="21" t="n">
        <f aca="false">LEN(I347)</f>
        <v>31</v>
      </c>
      <c r="K347" s="21" t="n">
        <f aca="false">CODE(RIGHT(I347,1))</f>
        <v>56</v>
      </c>
      <c r="L347" s="14" t="str">
        <f aca="false">SUBSTITUTE(I347,"PR:","")</f>
        <v>Games SP:Barney2017108 $1478</v>
      </c>
      <c r="M347" s="14" t="str">
        <f aca="false">SUBSTITUTE(L347,"SP:","")</f>
        <v>Games Barney2017108 $1478</v>
      </c>
      <c r="N347" s="15" t="str">
        <f aca="false">SUBSTITUTE(M347,"201710"," 201710")</f>
        <v>Games Barney 2017108 $1478</v>
      </c>
      <c r="O347" s="21" t="n">
        <f aca="false">FIND(" ",N347)</f>
        <v>6</v>
      </c>
      <c r="P347" s="21" t="n">
        <f aca="false">FIND(" ",N347,O347+1)</f>
        <v>13</v>
      </c>
      <c r="Q347" s="21" t="n">
        <f aca="false">FIND(" ",N347,P347+1)</f>
        <v>21</v>
      </c>
      <c r="R347" s="26" t="str">
        <f aca="false">LEFT(N347,O347-1)</f>
        <v>Games</v>
      </c>
      <c r="S347" s="26" t="str">
        <f aca="false">MID(N347,O347+1,P347-O347-1)</f>
        <v>Barney</v>
      </c>
      <c r="T347" s="26" t="str">
        <f aca="false">MID(N347,P347+1,Q347-P347-1)</f>
        <v>2017108</v>
      </c>
      <c r="U347" s="26" t="n">
        <f aca="false">VALUE(MID(N347,Q347+2,90))</f>
        <v>1478</v>
      </c>
      <c r="V347" s="27" t="n">
        <f aca="false">DATE(2017,10,MID(T347,7,2))</f>
        <v>43016</v>
      </c>
    </row>
    <row r="348" customFormat="false" ht="14.25" hidden="false" customHeight="false" outlineLevel="0" collapsed="false">
      <c r="A348" s="23" t="n">
        <f aca="false">A347+1</f>
        <v>344</v>
      </c>
      <c r="B348" s="14" t="s">
        <v>362</v>
      </c>
      <c r="C348" s="21" t="n">
        <f aca="false">CODE(RIGHT(B348,1))</f>
        <v>28</v>
      </c>
      <c r="D348" s="14" t="str">
        <f aca="false">CLEAN(B348)</f>
        <v>///PR:Games_____SP:Alice2017109  $0  </v>
      </c>
      <c r="E348" s="21" t="n">
        <f aca="false">CODE(RIGHT(D348,1))</f>
        <v>32</v>
      </c>
      <c r="F348" s="14" t="str">
        <f aca="false">SUBSTITUTE(D348,_xlfn.UNICHAR(160)," ")</f>
        <v>///PR:Games_____SP:Alice2017109  $0  </v>
      </c>
      <c r="G348" s="14" t="str">
        <f aca="false">SUBSTITUTE(F348,"/","")</f>
        <v>PR:Games_____SP:Alice2017109  $0  </v>
      </c>
      <c r="H348" s="14" t="str">
        <f aca="false">SUBSTITUTE(G348,"_"," ")</f>
        <v>PR:Games     SP:Alice2017109  $0  </v>
      </c>
      <c r="I348" s="14" t="str">
        <f aca="false">TRIM(H348)</f>
        <v>PR:Games SP:Alice2017109 $0</v>
      </c>
      <c r="J348" s="21" t="n">
        <f aca="false">LEN(I348)</f>
        <v>27</v>
      </c>
      <c r="K348" s="21" t="n">
        <f aca="false">CODE(RIGHT(I348,1))</f>
        <v>48</v>
      </c>
      <c r="L348" s="14" t="str">
        <f aca="false">SUBSTITUTE(I348,"PR:","")</f>
        <v>Games SP:Alice2017109 $0</v>
      </c>
      <c r="M348" s="14" t="str">
        <f aca="false">SUBSTITUTE(L348,"SP:","")</f>
        <v>Games Alice2017109 $0</v>
      </c>
      <c r="N348" s="15" t="str">
        <f aca="false">SUBSTITUTE(M348,"201710"," 201710")</f>
        <v>Games Alice 2017109 $0</v>
      </c>
      <c r="O348" s="21" t="n">
        <f aca="false">FIND(" ",N348)</f>
        <v>6</v>
      </c>
      <c r="P348" s="21" t="n">
        <f aca="false">FIND(" ",N348,O348+1)</f>
        <v>12</v>
      </c>
      <c r="Q348" s="21" t="n">
        <f aca="false">FIND(" ",N348,P348+1)</f>
        <v>20</v>
      </c>
      <c r="R348" s="26" t="str">
        <f aca="false">LEFT(N348,O348-1)</f>
        <v>Games</v>
      </c>
      <c r="S348" s="26" t="str">
        <f aca="false">MID(N348,O348+1,P348-O348-1)</f>
        <v>Alice</v>
      </c>
      <c r="T348" s="26" t="str">
        <f aca="false">MID(N348,P348+1,Q348-P348-1)</f>
        <v>2017109</v>
      </c>
      <c r="U348" s="26" t="n">
        <f aca="false">VALUE(MID(N348,Q348+2,90))</f>
        <v>0</v>
      </c>
      <c r="V348" s="27" t="n">
        <f aca="false">DATE(2017,10,MID(T348,7,2))</f>
        <v>43017</v>
      </c>
    </row>
    <row r="349" customFormat="false" ht="14.25" hidden="false" customHeight="false" outlineLevel="0" collapsed="false">
      <c r="A349" s="23" t="n">
        <f aca="false">A348+1</f>
        <v>345</v>
      </c>
      <c r="B349" s="14" t="s">
        <v>363</v>
      </c>
      <c r="C349" s="21" t="n">
        <f aca="false">CODE(RIGHT(B349,1))</f>
        <v>31</v>
      </c>
      <c r="D349" s="14" t="str">
        <f aca="false">CLEAN(B349)</f>
        <v>/////PR:Music_____SP:Carol20171028   $1137 </v>
      </c>
      <c r="E349" s="21" t="n">
        <f aca="false">CODE(RIGHT(D349,1))</f>
        <v>32</v>
      </c>
      <c r="F349" s="14" t="str">
        <f aca="false">SUBSTITUTE(D349,_xlfn.UNICHAR(160)," ")</f>
        <v>/////PR:Music_____SP:Carol20171028   $1137 </v>
      </c>
      <c r="G349" s="14" t="str">
        <f aca="false">SUBSTITUTE(F349,"/","")</f>
        <v>PR:Music_____SP:Carol20171028   $1137 </v>
      </c>
      <c r="H349" s="14" t="str">
        <f aca="false">SUBSTITUTE(G349,"_"," ")</f>
        <v>PR:Music     SP:Carol20171028   $1137 </v>
      </c>
      <c r="I349" s="14" t="str">
        <f aca="false">TRIM(H349)</f>
        <v>PR:Music SP:Carol20171028 $1137</v>
      </c>
      <c r="J349" s="21" t="n">
        <f aca="false">LEN(I349)</f>
        <v>31</v>
      </c>
      <c r="K349" s="21" t="n">
        <f aca="false">CODE(RIGHT(I349,1))</f>
        <v>55</v>
      </c>
      <c r="L349" s="14" t="str">
        <f aca="false">SUBSTITUTE(I349,"PR:","")</f>
        <v>Music SP:Carol20171028 $1137</v>
      </c>
      <c r="M349" s="14" t="str">
        <f aca="false">SUBSTITUTE(L349,"SP:","")</f>
        <v>Music Carol20171028 $1137</v>
      </c>
      <c r="N349" s="15" t="str">
        <f aca="false">SUBSTITUTE(M349,"201710"," 201710")</f>
        <v>Music Carol 20171028 $1137</v>
      </c>
      <c r="O349" s="21" t="n">
        <f aca="false">FIND(" ",N349)</f>
        <v>6</v>
      </c>
      <c r="P349" s="21" t="n">
        <f aca="false">FIND(" ",N349,O349+1)</f>
        <v>12</v>
      </c>
      <c r="Q349" s="21" t="n">
        <f aca="false">FIND(" ",N349,P349+1)</f>
        <v>21</v>
      </c>
      <c r="R349" s="26" t="str">
        <f aca="false">LEFT(N349,O349-1)</f>
        <v>Music</v>
      </c>
      <c r="S349" s="26" t="str">
        <f aca="false">MID(N349,O349+1,P349-O349-1)</f>
        <v>Carol</v>
      </c>
      <c r="T349" s="26" t="str">
        <f aca="false">MID(N349,P349+1,Q349-P349-1)</f>
        <v>20171028</v>
      </c>
      <c r="U349" s="26" t="n">
        <f aca="false">VALUE(MID(N349,Q349+2,90))</f>
        <v>1137</v>
      </c>
      <c r="V349" s="27" t="n">
        <f aca="false">DATE(2017,10,MID(T349,7,2))</f>
        <v>43036</v>
      </c>
    </row>
    <row r="350" customFormat="false" ht="14.25" hidden="false" customHeight="false" outlineLevel="0" collapsed="false">
      <c r="A350" s="23" t="n">
        <f aca="false">A349+1</f>
        <v>346</v>
      </c>
      <c r="B350" s="14" t="s">
        <v>364</v>
      </c>
      <c r="C350" s="21" t="n">
        <f aca="false">CODE(RIGHT(B350,1))</f>
        <v>31</v>
      </c>
      <c r="D350" s="14" t="str">
        <f aca="false">CLEAN(B350)</f>
        <v>///PR:Clothing____SP:Carol2017106    $0   </v>
      </c>
      <c r="E350" s="21" t="n">
        <f aca="false">CODE(RIGHT(D350,1))</f>
        <v>32</v>
      </c>
      <c r="F350" s="14" t="str">
        <f aca="false">SUBSTITUTE(D350,_xlfn.UNICHAR(160)," ")</f>
        <v>///PR:Clothing____SP:Carol2017106    $0   </v>
      </c>
      <c r="G350" s="14" t="str">
        <f aca="false">SUBSTITUTE(F350,"/","")</f>
        <v>PR:Clothing____SP:Carol2017106    $0   </v>
      </c>
      <c r="H350" s="14" t="str">
        <f aca="false">SUBSTITUTE(G350,"_"," ")</f>
        <v>PR:Clothing    SP:Carol2017106    $0   </v>
      </c>
      <c r="I350" s="14" t="str">
        <f aca="false">TRIM(H350)</f>
        <v>PR:Clothing SP:Carol2017106 $0</v>
      </c>
      <c r="J350" s="21" t="n">
        <f aca="false">LEN(I350)</f>
        <v>30</v>
      </c>
      <c r="K350" s="21" t="n">
        <f aca="false">CODE(RIGHT(I350,1))</f>
        <v>48</v>
      </c>
      <c r="L350" s="14" t="str">
        <f aca="false">SUBSTITUTE(I350,"PR:","")</f>
        <v>Clothing SP:Carol2017106 $0</v>
      </c>
      <c r="M350" s="14" t="str">
        <f aca="false">SUBSTITUTE(L350,"SP:","")</f>
        <v>Clothing Carol2017106 $0</v>
      </c>
      <c r="N350" s="15" t="str">
        <f aca="false">SUBSTITUTE(M350,"201710"," 201710")</f>
        <v>Clothing Carol 2017106 $0</v>
      </c>
      <c r="O350" s="21" t="n">
        <f aca="false">FIND(" ",N350)</f>
        <v>9</v>
      </c>
      <c r="P350" s="21" t="n">
        <f aca="false">FIND(" ",N350,O350+1)</f>
        <v>15</v>
      </c>
      <c r="Q350" s="21" t="n">
        <f aca="false">FIND(" ",N350,P350+1)</f>
        <v>23</v>
      </c>
      <c r="R350" s="26" t="str">
        <f aca="false">LEFT(N350,O350-1)</f>
        <v>Clothing</v>
      </c>
      <c r="S350" s="26" t="str">
        <f aca="false">MID(N350,O350+1,P350-O350-1)</f>
        <v>Carol</v>
      </c>
      <c r="T350" s="26" t="str">
        <f aca="false">MID(N350,P350+1,Q350-P350-1)</f>
        <v>2017106</v>
      </c>
      <c r="U350" s="26" t="n">
        <f aca="false">VALUE(MID(N350,Q350+2,90))</f>
        <v>0</v>
      </c>
      <c r="V350" s="27" t="n">
        <f aca="false">DATE(2017,10,MID(T350,7,2))</f>
        <v>43014</v>
      </c>
    </row>
    <row r="351" customFormat="false" ht="14.25" hidden="false" customHeight="false" outlineLevel="0" collapsed="false">
      <c r="A351" s="23" t="n">
        <f aca="false">A350+1</f>
        <v>347</v>
      </c>
      <c r="B351" s="14" t="s">
        <v>365</v>
      </c>
      <c r="C351" s="21" t="n">
        <f aca="false">CODE(RIGHT(B351,1))</f>
        <v>29</v>
      </c>
      <c r="D351" s="14" t="str">
        <f aca="false">CLEAN(B351)</f>
        <v>////PR:Music_SP:Carol20171017    $1223     </v>
      </c>
      <c r="E351" s="21" t="n">
        <f aca="false">CODE(RIGHT(D351,1))</f>
        <v>32</v>
      </c>
      <c r="F351" s="14" t="str">
        <f aca="false">SUBSTITUTE(D351,_xlfn.UNICHAR(160)," ")</f>
        <v>////PR:Music_SP:Carol20171017    $1223     </v>
      </c>
      <c r="G351" s="14" t="str">
        <f aca="false">SUBSTITUTE(F351,"/","")</f>
        <v>PR:Music_SP:Carol20171017    $1223     </v>
      </c>
      <c r="H351" s="14" t="str">
        <f aca="false">SUBSTITUTE(G351,"_"," ")</f>
        <v>PR:Music SP:Carol20171017    $1223     </v>
      </c>
      <c r="I351" s="14" t="str">
        <f aca="false">TRIM(H351)</f>
        <v>PR:Music SP:Carol20171017 $1223</v>
      </c>
      <c r="J351" s="21" t="n">
        <f aca="false">LEN(I351)</f>
        <v>31</v>
      </c>
      <c r="K351" s="21" t="n">
        <f aca="false">CODE(RIGHT(I351,1))</f>
        <v>51</v>
      </c>
      <c r="L351" s="14" t="str">
        <f aca="false">SUBSTITUTE(I351,"PR:","")</f>
        <v>Music SP:Carol20171017 $1223</v>
      </c>
      <c r="M351" s="14" t="str">
        <f aca="false">SUBSTITUTE(L351,"SP:","")</f>
        <v>Music Carol20171017 $1223</v>
      </c>
      <c r="N351" s="15" t="str">
        <f aca="false">SUBSTITUTE(M351,"201710"," 201710")</f>
        <v>Music Carol 20171017 $1223</v>
      </c>
      <c r="O351" s="21" t="n">
        <f aca="false">FIND(" ",N351)</f>
        <v>6</v>
      </c>
      <c r="P351" s="21" t="n">
        <f aca="false">FIND(" ",N351,O351+1)</f>
        <v>12</v>
      </c>
      <c r="Q351" s="21" t="n">
        <f aca="false">FIND(" ",N351,P351+1)</f>
        <v>21</v>
      </c>
      <c r="R351" s="26" t="str">
        <f aca="false">LEFT(N351,O351-1)</f>
        <v>Music</v>
      </c>
      <c r="S351" s="26" t="str">
        <f aca="false">MID(N351,O351+1,P351-O351-1)</f>
        <v>Carol</v>
      </c>
      <c r="T351" s="26" t="str">
        <f aca="false">MID(N351,P351+1,Q351-P351-1)</f>
        <v>20171017</v>
      </c>
      <c r="U351" s="26" t="n">
        <f aca="false">VALUE(MID(N351,Q351+2,90))</f>
        <v>1223</v>
      </c>
      <c r="V351" s="27" t="n">
        <f aca="false">DATE(2017,10,MID(T351,7,2))</f>
        <v>43025</v>
      </c>
    </row>
    <row r="352" customFormat="false" ht="14.25" hidden="false" customHeight="false" outlineLevel="0" collapsed="false">
      <c r="A352" s="23" t="n">
        <f aca="false">A351+1</f>
        <v>348</v>
      </c>
      <c r="B352" s="14" t="s">
        <v>366</v>
      </c>
      <c r="C352" s="21" t="n">
        <f aca="false">CODE(RIGHT(B352,1))</f>
        <v>31</v>
      </c>
      <c r="D352" s="14" t="str">
        <f aca="false">CLEAN(B352)</f>
        <v>/PR:Clothing___SP:Barney2017101   $732    </v>
      </c>
      <c r="E352" s="21" t="n">
        <f aca="false">CODE(RIGHT(D352,1))</f>
        <v>32</v>
      </c>
      <c r="F352" s="14" t="str">
        <f aca="false">SUBSTITUTE(D352,_xlfn.UNICHAR(160)," ")</f>
        <v>/PR:Clothing___SP:Barney2017101   $732    </v>
      </c>
      <c r="G352" s="14" t="str">
        <f aca="false">SUBSTITUTE(F352,"/","")</f>
        <v>PR:Clothing___SP:Barney2017101   $732    </v>
      </c>
      <c r="H352" s="14" t="str">
        <f aca="false">SUBSTITUTE(G352,"_"," ")</f>
        <v>PR:Clothing   SP:Barney2017101   $732    </v>
      </c>
      <c r="I352" s="14" t="str">
        <f aca="false">TRIM(H352)</f>
        <v>PR:Clothing SP:Barney2017101 $732</v>
      </c>
      <c r="J352" s="21" t="n">
        <f aca="false">LEN(I352)</f>
        <v>33</v>
      </c>
      <c r="K352" s="21" t="n">
        <f aca="false">CODE(RIGHT(I352,1))</f>
        <v>50</v>
      </c>
      <c r="L352" s="14" t="str">
        <f aca="false">SUBSTITUTE(I352,"PR:","")</f>
        <v>Clothing SP:Barney2017101 $732</v>
      </c>
      <c r="M352" s="14" t="str">
        <f aca="false">SUBSTITUTE(L352,"SP:","")</f>
        <v>Clothing Barney2017101 $732</v>
      </c>
      <c r="N352" s="15" t="str">
        <f aca="false">SUBSTITUTE(M352,"201710"," 201710")</f>
        <v>Clothing Barney 2017101 $732</v>
      </c>
      <c r="O352" s="21" t="n">
        <f aca="false">FIND(" ",N352)</f>
        <v>9</v>
      </c>
      <c r="P352" s="21" t="n">
        <f aca="false">FIND(" ",N352,O352+1)</f>
        <v>16</v>
      </c>
      <c r="Q352" s="21" t="n">
        <f aca="false">FIND(" ",N352,P352+1)</f>
        <v>24</v>
      </c>
      <c r="R352" s="26" t="str">
        <f aca="false">LEFT(N352,O352-1)</f>
        <v>Clothing</v>
      </c>
      <c r="S352" s="26" t="str">
        <f aca="false">MID(N352,O352+1,P352-O352-1)</f>
        <v>Barney</v>
      </c>
      <c r="T352" s="26" t="str">
        <f aca="false">MID(N352,P352+1,Q352-P352-1)</f>
        <v>2017101</v>
      </c>
      <c r="U352" s="26" t="n">
        <f aca="false">VALUE(MID(N352,Q352+2,90))</f>
        <v>732</v>
      </c>
      <c r="V352" s="27" t="n">
        <f aca="false">DATE(2017,10,MID(T352,7,2))</f>
        <v>43009</v>
      </c>
    </row>
    <row r="353" customFormat="false" ht="14.25" hidden="false" customHeight="false" outlineLevel="0" collapsed="false">
      <c r="A353" s="23" t="n">
        <f aca="false">A352+1</f>
        <v>349</v>
      </c>
      <c r="B353" s="14" t="s">
        <v>367</v>
      </c>
      <c r="C353" s="21" t="n">
        <f aca="false">CODE(RIGHT(B353,1))</f>
        <v>31</v>
      </c>
      <c r="D353" s="14" t="str">
        <f aca="false">CLEAN(B353)</f>
        <v>////PR:Clothing___SP:Carol20171020    $0     </v>
      </c>
      <c r="E353" s="21" t="n">
        <f aca="false">CODE(RIGHT(D353,1))</f>
        <v>32</v>
      </c>
      <c r="F353" s="14" t="str">
        <f aca="false">SUBSTITUTE(D353,_xlfn.UNICHAR(160)," ")</f>
        <v>////PR:Clothing___SP:Carol20171020    $0     </v>
      </c>
      <c r="G353" s="14" t="str">
        <f aca="false">SUBSTITUTE(F353,"/","")</f>
        <v>PR:Clothing___SP:Carol20171020    $0     </v>
      </c>
      <c r="H353" s="14" t="str">
        <f aca="false">SUBSTITUTE(G353,"_"," ")</f>
        <v>PR:Clothing   SP:Carol20171020    $0     </v>
      </c>
      <c r="I353" s="14" t="str">
        <f aca="false">TRIM(H353)</f>
        <v>PR:Clothing SP:Carol20171020 $0</v>
      </c>
      <c r="J353" s="21" t="n">
        <f aca="false">LEN(I353)</f>
        <v>31</v>
      </c>
      <c r="K353" s="21" t="n">
        <f aca="false">CODE(RIGHT(I353,1))</f>
        <v>48</v>
      </c>
      <c r="L353" s="14" t="str">
        <f aca="false">SUBSTITUTE(I353,"PR:","")</f>
        <v>Clothing SP:Carol20171020 $0</v>
      </c>
      <c r="M353" s="14" t="str">
        <f aca="false">SUBSTITUTE(L353,"SP:","")</f>
        <v>Clothing Carol20171020 $0</v>
      </c>
      <c r="N353" s="15" t="str">
        <f aca="false">SUBSTITUTE(M353,"201710"," 201710")</f>
        <v>Clothing Carol 20171020 $0</v>
      </c>
      <c r="O353" s="21" t="n">
        <f aca="false">FIND(" ",N353)</f>
        <v>9</v>
      </c>
      <c r="P353" s="21" t="n">
        <f aca="false">FIND(" ",N353,O353+1)</f>
        <v>15</v>
      </c>
      <c r="Q353" s="21" t="n">
        <f aca="false">FIND(" ",N353,P353+1)</f>
        <v>24</v>
      </c>
      <c r="R353" s="26" t="str">
        <f aca="false">LEFT(N353,O353-1)</f>
        <v>Clothing</v>
      </c>
      <c r="S353" s="26" t="str">
        <f aca="false">MID(N353,O353+1,P353-O353-1)</f>
        <v>Carol</v>
      </c>
      <c r="T353" s="26" t="str">
        <f aca="false">MID(N353,P353+1,Q353-P353-1)</f>
        <v>20171020</v>
      </c>
      <c r="U353" s="26" t="n">
        <f aca="false">VALUE(MID(N353,Q353+2,90))</f>
        <v>0</v>
      </c>
      <c r="V353" s="27" t="n">
        <f aca="false">DATE(2017,10,MID(T353,7,2))</f>
        <v>43028</v>
      </c>
    </row>
    <row r="354" customFormat="false" ht="14.25" hidden="false" customHeight="false" outlineLevel="0" collapsed="false">
      <c r="A354" s="23" t="n">
        <f aca="false">A353+1</f>
        <v>350</v>
      </c>
      <c r="B354" s="14" t="s">
        <v>368</v>
      </c>
      <c r="C354" s="21" t="n">
        <f aca="false">CODE(RIGHT(B354,1))</f>
        <v>29</v>
      </c>
      <c r="D354" s="14" t="str">
        <f aca="false">CLEAN(B354)</f>
        <v>//PR:Books___SP:Carol2017105    $619    </v>
      </c>
      <c r="E354" s="21" t="n">
        <f aca="false">CODE(RIGHT(D354,1))</f>
        <v>32</v>
      </c>
      <c r="F354" s="14" t="str">
        <f aca="false">SUBSTITUTE(D354,_xlfn.UNICHAR(160)," ")</f>
        <v>//PR:Books___SP:Carol2017105    $619    </v>
      </c>
      <c r="G354" s="14" t="str">
        <f aca="false">SUBSTITUTE(F354,"/","")</f>
        <v>PR:Books___SP:Carol2017105    $619    </v>
      </c>
      <c r="H354" s="14" t="str">
        <f aca="false">SUBSTITUTE(G354,"_"," ")</f>
        <v>PR:Books   SP:Carol2017105    $619    </v>
      </c>
      <c r="I354" s="14" t="str">
        <f aca="false">TRIM(H354)</f>
        <v>PR:Books SP:Carol2017105 $619</v>
      </c>
      <c r="J354" s="21" t="n">
        <f aca="false">LEN(I354)</f>
        <v>29</v>
      </c>
      <c r="K354" s="21" t="n">
        <f aca="false">CODE(RIGHT(I354,1))</f>
        <v>57</v>
      </c>
      <c r="L354" s="14" t="str">
        <f aca="false">SUBSTITUTE(I354,"PR:","")</f>
        <v>Books SP:Carol2017105 $619</v>
      </c>
      <c r="M354" s="14" t="str">
        <f aca="false">SUBSTITUTE(L354,"SP:","")</f>
        <v>Books Carol2017105 $619</v>
      </c>
      <c r="N354" s="15" t="str">
        <f aca="false">SUBSTITUTE(M354,"201710"," 201710")</f>
        <v>Books Carol 2017105 $619</v>
      </c>
      <c r="O354" s="21" t="n">
        <f aca="false">FIND(" ",N354)</f>
        <v>6</v>
      </c>
      <c r="P354" s="21" t="n">
        <f aca="false">FIND(" ",N354,O354+1)</f>
        <v>12</v>
      </c>
      <c r="Q354" s="21" t="n">
        <f aca="false">FIND(" ",N354,P354+1)</f>
        <v>20</v>
      </c>
      <c r="R354" s="26" t="str">
        <f aca="false">LEFT(N354,O354-1)</f>
        <v>Books</v>
      </c>
      <c r="S354" s="26" t="str">
        <f aca="false">MID(N354,O354+1,P354-O354-1)</f>
        <v>Carol</v>
      </c>
      <c r="T354" s="26" t="str">
        <f aca="false">MID(N354,P354+1,Q354-P354-1)</f>
        <v>2017105</v>
      </c>
      <c r="U354" s="26" t="n">
        <f aca="false">VALUE(MID(N354,Q354+2,90))</f>
        <v>619</v>
      </c>
      <c r="V354" s="27" t="n">
        <f aca="false">DATE(2017,10,MID(T354,7,2))</f>
        <v>43013</v>
      </c>
    </row>
    <row r="355" customFormat="false" ht="14.25" hidden="false" customHeight="false" outlineLevel="0" collapsed="false">
      <c r="A355" s="23" t="n">
        <f aca="false">A354+1</f>
        <v>351</v>
      </c>
      <c r="B355" s="14" t="s">
        <v>369</v>
      </c>
      <c r="C355" s="21" t="n">
        <f aca="false">CODE(RIGHT(B355,1))</f>
        <v>31</v>
      </c>
      <c r="D355" s="14" t="str">
        <f aca="false">CLEAN(B355)</f>
        <v>/PR:Clothing_SP:Alice20171019     $877  </v>
      </c>
      <c r="E355" s="21" t="n">
        <f aca="false">CODE(RIGHT(D355,1))</f>
        <v>32</v>
      </c>
      <c r="F355" s="14" t="str">
        <f aca="false">SUBSTITUTE(D355,_xlfn.UNICHAR(160)," ")</f>
        <v>/PR:Clothing_SP:Alice20171019     $877  </v>
      </c>
      <c r="G355" s="14" t="str">
        <f aca="false">SUBSTITUTE(F355,"/","")</f>
        <v>PR:Clothing_SP:Alice20171019     $877  </v>
      </c>
      <c r="H355" s="14" t="str">
        <f aca="false">SUBSTITUTE(G355,"_"," ")</f>
        <v>PR:Clothing SP:Alice20171019     $877  </v>
      </c>
      <c r="I355" s="14" t="str">
        <f aca="false">TRIM(H355)</f>
        <v>PR:Clothing SP:Alice20171019 $877</v>
      </c>
      <c r="J355" s="21" t="n">
        <f aca="false">LEN(I355)</f>
        <v>33</v>
      </c>
      <c r="K355" s="21" t="n">
        <f aca="false">CODE(RIGHT(I355,1))</f>
        <v>55</v>
      </c>
      <c r="L355" s="14" t="str">
        <f aca="false">SUBSTITUTE(I355,"PR:","")</f>
        <v>Clothing SP:Alice20171019 $877</v>
      </c>
      <c r="M355" s="14" t="str">
        <f aca="false">SUBSTITUTE(L355,"SP:","")</f>
        <v>Clothing Alice20171019 $877</v>
      </c>
      <c r="N355" s="15" t="str">
        <f aca="false">SUBSTITUTE(M355,"201710"," 201710")</f>
        <v>Clothing Alice 20171019 $877</v>
      </c>
      <c r="O355" s="21" t="n">
        <f aca="false">FIND(" ",N355)</f>
        <v>9</v>
      </c>
      <c r="P355" s="21" t="n">
        <f aca="false">FIND(" ",N355,O355+1)</f>
        <v>15</v>
      </c>
      <c r="Q355" s="21" t="n">
        <f aca="false">FIND(" ",N355,P355+1)</f>
        <v>24</v>
      </c>
      <c r="R355" s="26" t="str">
        <f aca="false">LEFT(N355,O355-1)</f>
        <v>Clothing</v>
      </c>
      <c r="S355" s="26" t="str">
        <f aca="false">MID(N355,O355+1,P355-O355-1)</f>
        <v>Alice</v>
      </c>
      <c r="T355" s="26" t="str">
        <f aca="false">MID(N355,P355+1,Q355-P355-1)</f>
        <v>20171019</v>
      </c>
      <c r="U355" s="26" t="n">
        <f aca="false">VALUE(MID(N355,Q355+2,90))</f>
        <v>877</v>
      </c>
      <c r="V355" s="27" t="n">
        <f aca="false">DATE(2017,10,MID(T355,7,2))</f>
        <v>43027</v>
      </c>
    </row>
    <row r="356" customFormat="false" ht="14.25" hidden="false" customHeight="false" outlineLevel="0" collapsed="false">
      <c r="A356" s="23" t="n">
        <f aca="false">A355+1</f>
        <v>352</v>
      </c>
      <c r="B356" s="14" t="s">
        <v>370</v>
      </c>
      <c r="C356" s="21" t="n">
        <f aca="false">CODE(RIGHT(B356,1))</f>
        <v>29</v>
      </c>
      <c r="D356" s="14" t="str">
        <f aca="false">CLEAN(B356)</f>
        <v>///PR:Books_____SP:David20171031    $629   </v>
      </c>
      <c r="E356" s="21" t="n">
        <f aca="false">CODE(RIGHT(D356,1))</f>
        <v>32</v>
      </c>
      <c r="F356" s="14" t="str">
        <f aca="false">SUBSTITUTE(D356,_xlfn.UNICHAR(160)," ")</f>
        <v>///PR:Books_____SP:David20171031    $629   </v>
      </c>
      <c r="G356" s="14" t="str">
        <f aca="false">SUBSTITUTE(F356,"/","")</f>
        <v>PR:Books_____SP:David20171031    $629   </v>
      </c>
      <c r="H356" s="14" t="str">
        <f aca="false">SUBSTITUTE(G356,"_"," ")</f>
        <v>PR:Books     SP:David20171031    $629   </v>
      </c>
      <c r="I356" s="14" t="str">
        <f aca="false">TRIM(H356)</f>
        <v>PR:Books SP:David20171031 $629</v>
      </c>
      <c r="J356" s="21" t="n">
        <f aca="false">LEN(I356)</f>
        <v>30</v>
      </c>
      <c r="K356" s="21" t="n">
        <f aca="false">CODE(RIGHT(I356,1))</f>
        <v>57</v>
      </c>
      <c r="L356" s="14" t="str">
        <f aca="false">SUBSTITUTE(I356,"PR:","")</f>
        <v>Books SP:David20171031 $629</v>
      </c>
      <c r="M356" s="14" t="str">
        <f aca="false">SUBSTITUTE(L356,"SP:","")</f>
        <v>Books David20171031 $629</v>
      </c>
      <c r="N356" s="15" t="str">
        <f aca="false">SUBSTITUTE(M356,"201710"," 201710")</f>
        <v>Books David 20171031 $629</v>
      </c>
      <c r="O356" s="21" t="n">
        <f aca="false">FIND(" ",N356)</f>
        <v>6</v>
      </c>
      <c r="P356" s="21" t="n">
        <f aca="false">FIND(" ",N356,O356+1)</f>
        <v>12</v>
      </c>
      <c r="Q356" s="21" t="n">
        <f aca="false">FIND(" ",N356,P356+1)</f>
        <v>21</v>
      </c>
      <c r="R356" s="26" t="str">
        <f aca="false">LEFT(N356,O356-1)</f>
        <v>Books</v>
      </c>
      <c r="S356" s="26" t="str">
        <f aca="false">MID(N356,O356+1,P356-O356-1)</f>
        <v>David</v>
      </c>
      <c r="T356" s="26" t="str">
        <f aca="false">MID(N356,P356+1,Q356-P356-1)</f>
        <v>20171031</v>
      </c>
      <c r="U356" s="26" t="n">
        <f aca="false">VALUE(MID(N356,Q356+2,90))</f>
        <v>629</v>
      </c>
      <c r="V356" s="27" t="n">
        <f aca="false">DATE(2017,10,MID(T356,7,2))</f>
        <v>43039</v>
      </c>
    </row>
    <row r="357" customFormat="false" ht="14.25" hidden="false" customHeight="false" outlineLevel="0" collapsed="false">
      <c r="A357" s="23" t="n">
        <f aca="false">A356+1</f>
        <v>353</v>
      </c>
      <c r="B357" s="14" t="s">
        <v>371</v>
      </c>
      <c r="C357" s="21" t="n">
        <f aca="false">CODE(RIGHT(B357,1))</f>
        <v>29</v>
      </c>
      <c r="D357" s="14" t="str">
        <f aca="false">CLEAN(B357)</f>
        <v>///PR:Clothing____SP:Carol2017103     $1069 </v>
      </c>
      <c r="E357" s="21" t="n">
        <f aca="false">CODE(RIGHT(D357,1))</f>
        <v>32</v>
      </c>
      <c r="F357" s="14" t="str">
        <f aca="false">SUBSTITUTE(D357,_xlfn.UNICHAR(160)," ")</f>
        <v>///PR:Clothing____SP:Carol2017103     $1069 </v>
      </c>
      <c r="G357" s="14" t="str">
        <f aca="false">SUBSTITUTE(F357,"/","")</f>
        <v>PR:Clothing____SP:Carol2017103     $1069 </v>
      </c>
      <c r="H357" s="14" t="str">
        <f aca="false">SUBSTITUTE(G357,"_"," ")</f>
        <v>PR:Clothing    SP:Carol2017103     $1069 </v>
      </c>
      <c r="I357" s="14" t="str">
        <f aca="false">TRIM(H357)</f>
        <v>PR:Clothing SP:Carol2017103 $1069</v>
      </c>
      <c r="J357" s="21" t="n">
        <f aca="false">LEN(I357)</f>
        <v>33</v>
      </c>
      <c r="K357" s="21" t="n">
        <f aca="false">CODE(RIGHT(I357,1))</f>
        <v>57</v>
      </c>
      <c r="L357" s="14" t="str">
        <f aca="false">SUBSTITUTE(I357,"PR:","")</f>
        <v>Clothing SP:Carol2017103 $1069</v>
      </c>
      <c r="M357" s="14" t="str">
        <f aca="false">SUBSTITUTE(L357,"SP:","")</f>
        <v>Clothing Carol2017103 $1069</v>
      </c>
      <c r="N357" s="15" t="str">
        <f aca="false">SUBSTITUTE(M357,"201710"," 201710")</f>
        <v>Clothing Carol 2017103 $1069</v>
      </c>
      <c r="O357" s="21" t="n">
        <f aca="false">FIND(" ",N357)</f>
        <v>9</v>
      </c>
      <c r="P357" s="21" t="n">
        <f aca="false">FIND(" ",N357,O357+1)</f>
        <v>15</v>
      </c>
      <c r="Q357" s="21" t="n">
        <f aca="false">FIND(" ",N357,P357+1)</f>
        <v>23</v>
      </c>
      <c r="R357" s="26" t="str">
        <f aca="false">LEFT(N357,O357-1)</f>
        <v>Clothing</v>
      </c>
      <c r="S357" s="26" t="str">
        <f aca="false">MID(N357,O357+1,P357-O357-1)</f>
        <v>Carol</v>
      </c>
      <c r="T357" s="26" t="str">
        <f aca="false">MID(N357,P357+1,Q357-P357-1)</f>
        <v>2017103</v>
      </c>
      <c r="U357" s="26" t="n">
        <f aca="false">VALUE(MID(N357,Q357+2,90))</f>
        <v>1069</v>
      </c>
      <c r="V357" s="27" t="n">
        <f aca="false">DATE(2017,10,MID(T357,7,2))</f>
        <v>43011</v>
      </c>
    </row>
    <row r="358" customFormat="false" ht="14.25" hidden="false" customHeight="false" outlineLevel="0" collapsed="false">
      <c r="A358" s="23" t="n">
        <f aca="false">A357+1</f>
        <v>354</v>
      </c>
      <c r="B358" s="14" t="s">
        <v>372</v>
      </c>
      <c r="C358" s="21" t="n">
        <f aca="false">CODE(RIGHT(B358,1))</f>
        <v>31</v>
      </c>
      <c r="D358" s="14" t="str">
        <f aca="false">CLEAN(B358)</f>
        <v>////PR:Music__SP:Alice20171022    $1348  </v>
      </c>
      <c r="E358" s="21" t="n">
        <f aca="false">CODE(RIGHT(D358,1))</f>
        <v>32</v>
      </c>
      <c r="F358" s="14" t="str">
        <f aca="false">SUBSTITUTE(D358,_xlfn.UNICHAR(160)," ")</f>
        <v>////PR:Music__SP:Alice20171022    $1348  </v>
      </c>
      <c r="G358" s="14" t="str">
        <f aca="false">SUBSTITUTE(F358,"/","")</f>
        <v>PR:Music__SP:Alice20171022    $1348  </v>
      </c>
      <c r="H358" s="14" t="str">
        <f aca="false">SUBSTITUTE(G358,"_"," ")</f>
        <v>PR:Music  SP:Alice20171022    $1348  </v>
      </c>
      <c r="I358" s="14" t="str">
        <f aca="false">TRIM(H358)</f>
        <v>PR:Music SP:Alice20171022 $1348</v>
      </c>
      <c r="J358" s="21" t="n">
        <f aca="false">LEN(I358)</f>
        <v>31</v>
      </c>
      <c r="K358" s="21" t="n">
        <f aca="false">CODE(RIGHT(I358,1))</f>
        <v>56</v>
      </c>
      <c r="L358" s="14" t="str">
        <f aca="false">SUBSTITUTE(I358,"PR:","")</f>
        <v>Music SP:Alice20171022 $1348</v>
      </c>
      <c r="M358" s="14" t="str">
        <f aca="false">SUBSTITUTE(L358,"SP:","")</f>
        <v>Music Alice20171022 $1348</v>
      </c>
      <c r="N358" s="15" t="str">
        <f aca="false">SUBSTITUTE(M358,"201710"," 201710")</f>
        <v>Music Alice 20171022 $1348</v>
      </c>
      <c r="O358" s="21" t="n">
        <f aca="false">FIND(" ",N358)</f>
        <v>6</v>
      </c>
      <c r="P358" s="21" t="n">
        <f aca="false">FIND(" ",N358,O358+1)</f>
        <v>12</v>
      </c>
      <c r="Q358" s="21" t="n">
        <f aca="false">FIND(" ",N358,P358+1)</f>
        <v>21</v>
      </c>
      <c r="R358" s="26" t="str">
        <f aca="false">LEFT(N358,O358-1)</f>
        <v>Music</v>
      </c>
      <c r="S358" s="26" t="str">
        <f aca="false">MID(N358,O358+1,P358-O358-1)</f>
        <v>Alice</v>
      </c>
      <c r="T358" s="26" t="str">
        <f aca="false">MID(N358,P358+1,Q358-P358-1)</f>
        <v>20171022</v>
      </c>
      <c r="U358" s="26" t="n">
        <f aca="false">VALUE(MID(N358,Q358+2,90))</f>
        <v>1348</v>
      </c>
      <c r="V358" s="27" t="n">
        <f aca="false">DATE(2017,10,MID(T358,7,2))</f>
        <v>43030</v>
      </c>
    </row>
    <row r="359" customFormat="false" ht="14.25" hidden="false" customHeight="false" outlineLevel="0" collapsed="false">
      <c r="A359" s="23" t="n">
        <f aca="false">A358+1</f>
        <v>355</v>
      </c>
      <c r="B359" s="14" t="s">
        <v>373</v>
      </c>
      <c r="C359" s="21" t="n">
        <f aca="false">CODE(RIGHT(B359,1))</f>
        <v>29</v>
      </c>
      <c r="D359" s="14" t="str">
        <f aca="false">CLEAN(B359)</f>
        <v>//PR:Clothing_____SP:David20171017  $1475 </v>
      </c>
      <c r="E359" s="21" t="n">
        <f aca="false">CODE(RIGHT(D359,1))</f>
        <v>32</v>
      </c>
      <c r="F359" s="14" t="str">
        <f aca="false">SUBSTITUTE(D359,_xlfn.UNICHAR(160)," ")</f>
        <v>//PR:Clothing_____SP:David20171017  $1475 </v>
      </c>
      <c r="G359" s="14" t="str">
        <f aca="false">SUBSTITUTE(F359,"/","")</f>
        <v>PR:Clothing_____SP:David20171017  $1475 </v>
      </c>
      <c r="H359" s="14" t="str">
        <f aca="false">SUBSTITUTE(G359,"_"," ")</f>
        <v>PR:Clothing     SP:David20171017  $1475 </v>
      </c>
      <c r="I359" s="14" t="str">
        <f aca="false">TRIM(H359)</f>
        <v>PR:Clothing SP:David20171017 $1475</v>
      </c>
      <c r="J359" s="21" t="n">
        <f aca="false">LEN(I359)</f>
        <v>34</v>
      </c>
      <c r="K359" s="21" t="n">
        <f aca="false">CODE(RIGHT(I359,1))</f>
        <v>53</v>
      </c>
      <c r="L359" s="14" t="str">
        <f aca="false">SUBSTITUTE(I359,"PR:","")</f>
        <v>Clothing SP:David20171017 $1475</v>
      </c>
      <c r="M359" s="14" t="str">
        <f aca="false">SUBSTITUTE(L359,"SP:","")</f>
        <v>Clothing David20171017 $1475</v>
      </c>
      <c r="N359" s="15" t="str">
        <f aca="false">SUBSTITUTE(M359,"201710"," 201710")</f>
        <v>Clothing David 20171017 $1475</v>
      </c>
      <c r="O359" s="21" t="n">
        <f aca="false">FIND(" ",N359)</f>
        <v>9</v>
      </c>
      <c r="P359" s="21" t="n">
        <f aca="false">FIND(" ",N359,O359+1)</f>
        <v>15</v>
      </c>
      <c r="Q359" s="21" t="n">
        <f aca="false">FIND(" ",N359,P359+1)</f>
        <v>24</v>
      </c>
      <c r="R359" s="26" t="str">
        <f aca="false">LEFT(N359,O359-1)</f>
        <v>Clothing</v>
      </c>
      <c r="S359" s="26" t="str">
        <f aca="false">MID(N359,O359+1,P359-O359-1)</f>
        <v>David</v>
      </c>
      <c r="T359" s="26" t="str">
        <f aca="false">MID(N359,P359+1,Q359-P359-1)</f>
        <v>20171017</v>
      </c>
      <c r="U359" s="26" t="n">
        <f aca="false">VALUE(MID(N359,Q359+2,90))</f>
        <v>1475</v>
      </c>
      <c r="V359" s="27" t="n">
        <f aca="false">DATE(2017,10,MID(T359,7,2))</f>
        <v>43025</v>
      </c>
    </row>
    <row r="360" customFormat="false" ht="14.25" hidden="false" customHeight="false" outlineLevel="0" collapsed="false">
      <c r="A360" s="23" t="n">
        <f aca="false">A359+1</f>
        <v>356</v>
      </c>
      <c r="B360" s="14" t="s">
        <v>374</v>
      </c>
      <c r="C360" s="21" t="n">
        <f aca="false">CODE(RIGHT(B360,1))</f>
        <v>30</v>
      </c>
      <c r="D360" s="14" t="str">
        <f aca="false">CLEAN(B360)</f>
        <v>///PR:Music__SP:Carol20171021    $0 </v>
      </c>
      <c r="E360" s="21" t="n">
        <f aca="false">CODE(RIGHT(D360,1))</f>
        <v>32</v>
      </c>
      <c r="F360" s="14" t="str">
        <f aca="false">SUBSTITUTE(D360,_xlfn.UNICHAR(160)," ")</f>
        <v>///PR:Music__SP:Carol20171021    $0 </v>
      </c>
      <c r="G360" s="14" t="str">
        <f aca="false">SUBSTITUTE(F360,"/","")</f>
        <v>PR:Music__SP:Carol20171021    $0 </v>
      </c>
      <c r="H360" s="14" t="str">
        <f aca="false">SUBSTITUTE(G360,"_"," ")</f>
        <v>PR:Music  SP:Carol20171021    $0 </v>
      </c>
      <c r="I360" s="14" t="str">
        <f aca="false">TRIM(H360)</f>
        <v>PR:Music SP:Carol20171021 $0</v>
      </c>
      <c r="J360" s="21" t="n">
        <f aca="false">LEN(I360)</f>
        <v>28</v>
      </c>
      <c r="K360" s="21" t="n">
        <f aca="false">CODE(RIGHT(I360,1))</f>
        <v>48</v>
      </c>
      <c r="L360" s="14" t="str">
        <f aca="false">SUBSTITUTE(I360,"PR:","")</f>
        <v>Music SP:Carol20171021 $0</v>
      </c>
      <c r="M360" s="14" t="str">
        <f aca="false">SUBSTITUTE(L360,"SP:","")</f>
        <v>Music Carol20171021 $0</v>
      </c>
      <c r="N360" s="15" t="str">
        <f aca="false">SUBSTITUTE(M360,"201710"," 201710")</f>
        <v>Music Carol 20171021 $0</v>
      </c>
      <c r="O360" s="21" t="n">
        <f aca="false">FIND(" ",N360)</f>
        <v>6</v>
      </c>
      <c r="P360" s="21" t="n">
        <f aca="false">FIND(" ",N360,O360+1)</f>
        <v>12</v>
      </c>
      <c r="Q360" s="21" t="n">
        <f aca="false">FIND(" ",N360,P360+1)</f>
        <v>21</v>
      </c>
      <c r="R360" s="26" t="str">
        <f aca="false">LEFT(N360,O360-1)</f>
        <v>Music</v>
      </c>
      <c r="S360" s="26" t="str">
        <f aca="false">MID(N360,O360+1,P360-O360-1)</f>
        <v>Carol</v>
      </c>
      <c r="T360" s="26" t="str">
        <f aca="false">MID(N360,P360+1,Q360-P360-1)</f>
        <v>20171021</v>
      </c>
      <c r="U360" s="26" t="n">
        <f aca="false">VALUE(MID(N360,Q360+2,90))</f>
        <v>0</v>
      </c>
      <c r="V360" s="27" t="n">
        <f aca="false">DATE(2017,10,MID(T360,7,2))</f>
        <v>43029</v>
      </c>
    </row>
    <row r="361" customFormat="false" ht="14.25" hidden="false" customHeight="false" outlineLevel="0" collapsed="false">
      <c r="A361" s="23" t="n">
        <f aca="false">A360+1</f>
        <v>357</v>
      </c>
      <c r="B361" s="14" t="s">
        <v>375</v>
      </c>
      <c r="C361" s="21" t="n">
        <f aca="false">CODE(RIGHT(B361,1))</f>
        <v>29</v>
      </c>
      <c r="D361" s="14" t="str">
        <f aca="false">CLEAN(B361)</f>
        <v>///PR:Games___SP:Alice20171014   $2209     </v>
      </c>
      <c r="E361" s="21" t="n">
        <f aca="false">CODE(RIGHT(D361,1))</f>
        <v>32</v>
      </c>
      <c r="F361" s="14" t="str">
        <f aca="false">SUBSTITUTE(D361,_xlfn.UNICHAR(160)," ")</f>
        <v>///PR:Games___SP:Alice20171014   $2209     </v>
      </c>
      <c r="G361" s="14" t="str">
        <f aca="false">SUBSTITUTE(F361,"/","")</f>
        <v>PR:Games___SP:Alice20171014   $2209     </v>
      </c>
      <c r="H361" s="14" t="str">
        <f aca="false">SUBSTITUTE(G361,"_"," ")</f>
        <v>PR:Games   SP:Alice20171014   $2209     </v>
      </c>
      <c r="I361" s="14" t="str">
        <f aca="false">TRIM(H361)</f>
        <v>PR:Games SP:Alice20171014 $2209</v>
      </c>
      <c r="J361" s="21" t="n">
        <f aca="false">LEN(I361)</f>
        <v>31</v>
      </c>
      <c r="K361" s="21" t="n">
        <f aca="false">CODE(RIGHT(I361,1))</f>
        <v>57</v>
      </c>
      <c r="L361" s="14" t="str">
        <f aca="false">SUBSTITUTE(I361,"PR:","")</f>
        <v>Games SP:Alice20171014 $2209</v>
      </c>
      <c r="M361" s="14" t="str">
        <f aca="false">SUBSTITUTE(L361,"SP:","")</f>
        <v>Games Alice20171014 $2209</v>
      </c>
      <c r="N361" s="15" t="str">
        <f aca="false">SUBSTITUTE(M361,"201710"," 201710")</f>
        <v>Games Alice 20171014 $2209</v>
      </c>
      <c r="O361" s="21" t="n">
        <f aca="false">FIND(" ",N361)</f>
        <v>6</v>
      </c>
      <c r="P361" s="21" t="n">
        <f aca="false">FIND(" ",N361,O361+1)</f>
        <v>12</v>
      </c>
      <c r="Q361" s="21" t="n">
        <f aca="false">FIND(" ",N361,P361+1)</f>
        <v>21</v>
      </c>
      <c r="R361" s="26" t="str">
        <f aca="false">LEFT(N361,O361-1)</f>
        <v>Games</v>
      </c>
      <c r="S361" s="26" t="str">
        <f aca="false">MID(N361,O361+1,P361-O361-1)</f>
        <v>Alice</v>
      </c>
      <c r="T361" s="26" t="str">
        <f aca="false">MID(N361,P361+1,Q361-P361-1)</f>
        <v>20171014</v>
      </c>
      <c r="U361" s="26" t="n">
        <f aca="false">VALUE(MID(N361,Q361+2,90))</f>
        <v>2209</v>
      </c>
      <c r="V361" s="27" t="n">
        <f aca="false">DATE(2017,10,MID(T361,7,2))</f>
        <v>43022</v>
      </c>
    </row>
    <row r="362" customFormat="false" ht="14.25" hidden="false" customHeight="false" outlineLevel="0" collapsed="false">
      <c r="A362" s="23" t="n">
        <f aca="false">A361+1</f>
        <v>358</v>
      </c>
      <c r="B362" s="14" t="s">
        <v>376</v>
      </c>
      <c r="C362" s="21" t="n">
        <f aca="false">CODE(RIGHT(B362,1))</f>
        <v>30</v>
      </c>
      <c r="D362" s="14" t="str">
        <f aca="false">CLEAN(B362)</f>
        <v>/////PR:Games___SP:David20171024     $0    </v>
      </c>
      <c r="E362" s="21" t="n">
        <f aca="false">CODE(RIGHT(D362,1))</f>
        <v>32</v>
      </c>
      <c r="F362" s="14" t="str">
        <f aca="false">SUBSTITUTE(D362,_xlfn.UNICHAR(160)," ")</f>
        <v>/////PR:Games___SP:David20171024     $0    </v>
      </c>
      <c r="G362" s="14" t="str">
        <f aca="false">SUBSTITUTE(F362,"/","")</f>
        <v>PR:Games___SP:David20171024     $0    </v>
      </c>
      <c r="H362" s="14" t="str">
        <f aca="false">SUBSTITUTE(G362,"_"," ")</f>
        <v>PR:Games   SP:David20171024     $0    </v>
      </c>
      <c r="I362" s="14" t="str">
        <f aca="false">TRIM(H362)</f>
        <v>PR:Games SP:David20171024 $0</v>
      </c>
      <c r="J362" s="21" t="n">
        <f aca="false">LEN(I362)</f>
        <v>28</v>
      </c>
      <c r="K362" s="21" t="n">
        <f aca="false">CODE(RIGHT(I362,1))</f>
        <v>48</v>
      </c>
      <c r="L362" s="14" t="str">
        <f aca="false">SUBSTITUTE(I362,"PR:","")</f>
        <v>Games SP:David20171024 $0</v>
      </c>
      <c r="M362" s="14" t="str">
        <f aca="false">SUBSTITUTE(L362,"SP:","")</f>
        <v>Games David20171024 $0</v>
      </c>
      <c r="N362" s="15" t="str">
        <f aca="false">SUBSTITUTE(M362,"201710"," 201710")</f>
        <v>Games David 20171024 $0</v>
      </c>
      <c r="O362" s="21" t="n">
        <f aca="false">FIND(" ",N362)</f>
        <v>6</v>
      </c>
      <c r="P362" s="21" t="n">
        <f aca="false">FIND(" ",N362,O362+1)</f>
        <v>12</v>
      </c>
      <c r="Q362" s="21" t="n">
        <f aca="false">FIND(" ",N362,P362+1)</f>
        <v>21</v>
      </c>
      <c r="R362" s="26" t="str">
        <f aca="false">LEFT(N362,O362-1)</f>
        <v>Games</v>
      </c>
      <c r="S362" s="26" t="str">
        <f aca="false">MID(N362,O362+1,P362-O362-1)</f>
        <v>David</v>
      </c>
      <c r="T362" s="26" t="str">
        <f aca="false">MID(N362,P362+1,Q362-P362-1)</f>
        <v>20171024</v>
      </c>
      <c r="U362" s="26" t="n">
        <f aca="false">VALUE(MID(N362,Q362+2,90))</f>
        <v>0</v>
      </c>
      <c r="V362" s="27" t="n">
        <f aca="false">DATE(2017,10,MID(T362,7,2))</f>
        <v>43032</v>
      </c>
    </row>
    <row r="363" customFormat="false" ht="14.25" hidden="false" customHeight="false" outlineLevel="0" collapsed="false">
      <c r="A363" s="23" t="n">
        <f aca="false">A362+1</f>
        <v>359</v>
      </c>
      <c r="B363" s="14" t="s">
        <v>377</v>
      </c>
      <c r="C363" s="21" t="n">
        <f aca="false">CODE(RIGHT(B363,1))</f>
        <v>31</v>
      </c>
      <c r="D363" s="14" t="str">
        <f aca="false">CLEAN(B363)</f>
        <v>////PR:Games____SP:Barney20171019 $0 </v>
      </c>
      <c r="E363" s="21" t="n">
        <f aca="false">CODE(RIGHT(D363,1))</f>
        <v>32</v>
      </c>
      <c r="F363" s="14" t="str">
        <f aca="false">SUBSTITUTE(D363,_xlfn.UNICHAR(160)," ")</f>
        <v>////PR:Games____SP:Barney20171019 $0 </v>
      </c>
      <c r="G363" s="14" t="str">
        <f aca="false">SUBSTITUTE(F363,"/","")</f>
        <v>PR:Games____SP:Barney20171019 $0 </v>
      </c>
      <c r="H363" s="14" t="str">
        <f aca="false">SUBSTITUTE(G363,"_"," ")</f>
        <v>PR:Games    SP:Barney20171019 $0 </v>
      </c>
      <c r="I363" s="14" t="str">
        <f aca="false">TRIM(H363)</f>
        <v>PR:Games SP:Barney20171019 $0</v>
      </c>
      <c r="J363" s="21" t="n">
        <f aca="false">LEN(I363)</f>
        <v>29</v>
      </c>
      <c r="K363" s="21" t="n">
        <f aca="false">CODE(RIGHT(I363,1))</f>
        <v>48</v>
      </c>
      <c r="L363" s="14" t="str">
        <f aca="false">SUBSTITUTE(I363,"PR:","")</f>
        <v>Games SP:Barney20171019 $0</v>
      </c>
      <c r="M363" s="14" t="str">
        <f aca="false">SUBSTITUTE(L363,"SP:","")</f>
        <v>Games Barney20171019 $0</v>
      </c>
      <c r="N363" s="15" t="str">
        <f aca="false">SUBSTITUTE(M363,"201710"," 201710")</f>
        <v>Games Barney 20171019 $0</v>
      </c>
      <c r="O363" s="21" t="n">
        <f aca="false">FIND(" ",N363)</f>
        <v>6</v>
      </c>
      <c r="P363" s="21" t="n">
        <f aca="false">FIND(" ",N363,O363+1)</f>
        <v>13</v>
      </c>
      <c r="Q363" s="21" t="n">
        <f aca="false">FIND(" ",N363,P363+1)</f>
        <v>22</v>
      </c>
      <c r="R363" s="26" t="str">
        <f aca="false">LEFT(N363,O363-1)</f>
        <v>Games</v>
      </c>
      <c r="S363" s="26" t="str">
        <f aca="false">MID(N363,O363+1,P363-O363-1)</f>
        <v>Barney</v>
      </c>
      <c r="T363" s="26" t="str">
        <f aca="false">MID(N363,P363+1,Q363-P363-1)</f>
        <v>20171019</v>
      </c>
      <c r="U363" s="26" t="n">
        <f aca="false">VALUE(MID(N363,Q363+2,90))</f>
        <v>0</v>
      </c>
      <c r="V363" s="27" t="n">
        <f aca="false">DATE(2017,10,MID(T363,7,2))</f>
        <v>43027</v>
      </c>
    </row>
    <row r="364" customFormat="false" ht="14.25" hidden="false" customHeight="false" outlineLevel="0" collapsed="false">
      <c r="A364" s="23" t="n">
        <f aca="false">A363+1</f>
        <v>360</v>
      </c>
      <c r="B364" s="14" t="s">
        <v>378</v>
      </c>
      <c r="C364" s="21" t="n">
        <f aca="false">CODE(RIGHT(B364,1))</f>
        <v>30</v>
      </c>
      <c r="D364" s="14" t="str">
        <f aca="false">CLEAN(B364)</f>
        <v>///PR:Games___SP:Carol2017106  $1733 </v>
      </c>
      <c r="E364" s="21" t="n">
        <f aca="false">CODE(RIGHT(D364,1))</f>
        <v>32</v>
      </c>
      <c r="F364" s="14" t="str">
        <f aca="false">SUBSTITUTE(D364,_xlfn.UNICHAR(160)," ")</f>
        <v>///PR:Games___SP:Carol2017106  $1733 </v>
      </c>
      <c r="G364" s="14" t="str">
        <f aca="false">SUBSTITUTE(F364,"/","")</f>
        <v>PR:Games___SP:Carol2017106  $1733 </v>
      </c>
      <c r="H364" s="14" t="str">
        <f aca="false">SUBSTITUTE(G364,"_"," ")</f>
        <v>PR:Games   SP:Carol2017106  $1733 </v>
      </c>
      <c r="I364" s="14" t="str">
        <f aca="false">TRIM(H364)</f>
        <v>PR:Games SP:Carol2017106 $1733</v>
      </c>
      <c r="J364" s="21" t="n">
        <f aca="false">LEN(I364)</f>
        <v>30</v>
      </c>
      <c r="K364" s="21" t="n">
        <f aca="false">CODE(RIGHT(I364,1))</f>
        <v>51</v>
      </c>
      <c r="L364" s="14" t="str">
        <f aca="false">SUBSTITUTE(I364,"PR:","")</f>
        <v>Games SP:Carol2017106 $1733</v>
      </c>
      <c r="M364" s="14" t="str">
        <f aca="false">SUBSTITUTE(L364,"SP:","")</f>
        <v>Games Carol2017106 $1733</v>
      </c>
      <c r="N364" s="15" t="str">
        <f aca="false">SUBSTITUTE(M364,"201710"," 201710")</f>
        <v>Games Carol 2017106 $1733</v>
      </c>
      <c r="O364" s="21" t="n">
        <f aca="false">FIND(" ",N364)</f>
        <v>6</v>
      </c>
      <c r="P364" s="21" t="n">
        <f aca="false">FIND(" ",N364,O364+1)</f>
        <v>12</v>
      </c>
      <c r="Q364" s="21" t="n">
        <f aca="false">FIND(" ",N364,P364+1)</f>
        <v>20</v>
      </c>
      <c r="R364" s="26" t="str">
        <f aca="false">LEFT(N364,O364-1)</f>
        <v>Games</v>
      </c>
      <c r="S364" s="26" t="str">
        <f aca="false">MID(N364,O364+1,P364-O364-1)</f>
        <v>Carol</v>
      </c>
      <c r="T364" s="26" t="str">
        <f aca="false">MID(N364,P364+1,Q364-P364-1)</f>
        <v>2017106</v>
      </c>
      <c r="U364" s="26" t="n">
        <f aca="false">VALUE(MID(N364,Q364+2,90))</f>
        <v>1733</v>
      </c>
      <c r="V364" s="27" t="n">
        <f aca="false">DATE(2017,10,MID(T364,7,2))</f>
        <v>43014</v>
      </c>
    </row>
    <row r="365" customFormat="false" ht="14.25" hidden="false" customHeight="false" outlineLevel="0" collapsed="false">
      <c r="A365" s="23" t="n">
        <f aca="false">A364+1</f>
        <v>361</v>
      </c>
      <c r="B365" s="14" t="s">
        <v>379</v>
      </c>
      <c r="C365" s="21" t="n">
        <f aca="false">CODE(RIGHT(B365,1))</f>
        <v>30</v>
      </c>
      <c r="D365" s="14" t="str">
        <f aca="false">CLEAN(B365)</f>
        <v>/////PR:Games__SP:David2017105    $1878     </v>
      </c>
      <c r="E365" s="21" t="n">
        <f aca="false">CODE(RIGHT(D365,1))</f>
        <v>32</v>
      </c>
      <c r="F365" s="14" t="str">
        <f aca="false">SUBSTITUTE(D365,_xlfn.UNICHAR(160)," ")</f>
        <v>/////PR:Games__SP:David2017105    $1878     </v>
      </c>
      <c r="G365" s="14" t="str">
        <f aca="false">SUBSTITUTE(F365,"/","")</f>
        <v>PR:Games__SP:David2017105    $1878     </v>
      </c>
      <c r="H365" s="14" t="str">
        <f aca="false">SUBSTITUTE(G365,"_"," ")</f>
        <v>PR:Games  SP:David2017105    $1878     </v>
      </c>
      <c r="I365" s="14" t="str">
        <f aca="false">TRIM(H365)</f>
        <v>PR:Games SP:David2017105 $1878</v>
      </c>
      <c r="J365" s="21" t="n">
        <f aca="false">LEN(I365)</f>
        <v>30</v>
      </c>
      <c r="K365" s="21" t="n">
        <f aca="false">CODE(RIGHT(I365,1))</f>
        <v>56</v>
      </c>
      <c r="L365" s="14" t="str">
        <f aca="false">SUBSTITUTE(I365,"PR:","")</f>
        <v>Games SP:David2017105 $1878</v>
      </c>
      <c r="M365" s="14" t="str">
        <f aca="false">SUBSTITUTE(L365,"SP:","")</f>
        <v>Games David2017105 $1878</v>
      </c>
      <c r="N365" s="15" t="str">
        <f aca="false">SUBSTITUTE(M365,"201710"," 201710")</f>
        <v>Games David 2017105 $1878</v>
      </c>
      <c r="O365" s="21" t="n">
        <f aca="false">FIND(" ",N365)</f>
        <v>6</v>
      </c>
      <c r="P365" s="21" t="n">
        <f aca="false">FIND(" ",N365,O365+1)</f>
        <v>12</v>
      </c>
      <c r="Q365" s="21" t="n">
        <f aca="false">FIND(" ",N365,P365+1)</f>
        <v>20</v>
      </c>
      <c r="R365" s="26" t="str">
        <f aca="false">LEFT(N365,O365-1)</f>
        <v>Games</v>
      </c>
      <c r="S365" s="26" t="str">
        <f aca="false">MID(N365,O365+1,P365-O365-1)</f>
        <v>David</v>
      </c>
      <c r="T365" s="26" t="str">
        <f aca="false">MID(N365,P365+1,Q365-P365-1)</f>
        <v>2017105</v>
      </c>
      <c r="U365" s="26" t="n">
        <f aca="false">VALUE(MID(N365,Q365+2,90))</f>
        <v>1878</v>
      </c>
      <c r="V365" s="27" t="n">
        <f aca="false">DATE(2017,10,MID(T365,7,2))</f>
        <v>43013</v>
      </c>
    </row>
    <row r="366" customFormat="false" ht="14.25" hidden="false" customHeight="false" outlineLevel="0" collapsed="false">
      <c r="A366" s="23" t="n">
        <f aca="false">A365+1</f>
        <v>362</v>
      </c>
      <c r="B366" s="14" t="s">
        <v>380</v>
      </c>
      <c r="C366" s="21" t="n">
        <f aca="false">CODE(RIGHT(B366,1))</f>
        <v>28</v>
      </c>
      <c r="D366" s="14" t="str">
        <f aca="false">CLEAN(B366)</f>
        <v>//PR:Clothing___SP:Barney20171012    $925     </v>
      </c>
      <c r="E366" s="21" t="n">
        <f aca="false">CODE(RIGHT(D366,1))</f>
        <v>32</v>
      </c>
      <c r="F366" s="14" t="str">
        <f aca="false">SUBSTITUTE(D366,_xlfn.UNICHAR(160)," ")</f>
        <v>//PR:Clothing___SP:Barney20171012    $925     </v>
      </c>
      <c r="G366" s="14" t="str">
        <f aca="false">SUBSTITUTE(F366,"/","")</f>
        <v>PR:Clothing___SP:Barney20171012    $925     </v>
      </c>
      <c r="H366" s="14" t="str">
        <f aca="false">SUBSTITUTE(G366,"_"," ")</f>
        <v>PR:Clothing   SP:Barney20171012    $925     </v>
      </c>
      <c r="I366" s="14" t="str">
        <f aca="false">TRIM(H366)</f>
        <v>PR:Clothing SP:Barney20171012 $925</v>
      </c>
      <c r="J366" s="21" t="n">
        <f aca="false">LEN(I366)</f>
        <v>34</v>
      </c>
      <c r="K366" s="21" t="n">
        <f aca="false">CODE(RIGHT(I366,1))</f>
        <v>53</v>
      </c>
      <c r="L366" s="14" t="str">
        <f aca="false">SUBSTITUTE(I366,"PR:","")</f>
        <v>Clothing SP:Barney20171012 $925</v>
      </c>
      <c r="M366" s="14" t="str">
        <f aca="false">SUBSTITUTE(L366,"SP:","")</f>
        <v>Clothing Barney20171012 $925</v>
      </c>
      <c r="N366" s="15" t="str">
        <f aca="false">SUBSTITUTE(M366,"201710"," 201710")</f>
        <v>Clothing Barney 20171012 $925</v>
      </c>
      <c r="O366" s="21" t="n">
        <f aca="false">FIND(" ",N366)</f>
        <v>9</v>
      </c>
      <c r="P366" s="21" t="n">
        <f aca="false">FIND(" ",N366,O366+1)</f>
        <v>16</v>
      </c>
      <c r="Q366" s="21" t="n">
        <f aca="false">FIND(" ",N366,P366+1)</f>
        <v>25</v>
      </c>
      <c r="R366" s="26" t="str">
        <f aca="false">LEFT(N366,O366-1)</f>
        <v>Clothing</v>
      </c>
      <c r="S366" s="26" t="str">
        <f aca="false">MID(N366,O366+1,P366-O366-1)</f>
        <v>Barney</v>
      </c>
      <c r="T366" s="26" t="str">
        <f aca="false">MID(N366,P366+1,Q366-P366-1)</f>
        <v>20171012</v>
      </c>
      <c r="U366" s="26" t="n">
        <f aca="false">VALUE(MID(N366,Q366+2,90))</f>
        <v>925</v>
      </c>
      <c r="V366" s="27" t="n">
        <f aca="false">DATE(2017,10,MID(T366,7,2))</f>
        <v>43020</v>
      </c>
    </row>
    <row r="367" customFormat="false" ht="14.25" hidden="false" customHeight="false" outlineLevel="0" collapsed="false">
      <c r="A367" s="23" t="n">
        <f aca="false">A366+1</f>
        <v>363</v>
      </c>
      <c r="B367" s="14" t="s">
        <v>381</v>
      </c>
      <c r="C367" s="21" t="n">
        <f aca="false">CODE(RIGHT(B367,1))</f>
        <v>31</v>
      </c>
      <c r="D367" s="14" t="str">
        <f aca="false">CLEAN(B367)</f>
        <v>/PR:Books___SP:Barney2017101    $686    </v>
      </c>
      <c r="E367" s="21" t="n">
        <f aca="false">CODE(RIGHT(D367,1))</f>
        <v>32</v>
      </c>
      <c r="F367" s="14" t="str">
        <f aca="false">SUBSTITUTE(D367,_xlfn.UNICHAR(160)," ")</f>
        <v>/PR:Books___SP:Barney2017101    $686    </v>
      </c>
      <c r="G367" s="14" t="str">
        <f aca="false">SUBSTITUTE(F367,"/","")</f>
        <v>PR:Books___SP:Barney2017101    $686    </v>
      </c>
      <c r="H367" s="14" t="str">
        <f aca="false">SUBSTITUTE(G367,"_"," ")</f>
        <v>PR:Books   SP:Barney2017101    $686    </v>
      </c>
      <c r="I367" s="14" t="str">
        <f aca="false">TRIM(H367)</f>
        <v>PR:Books SP:Barney2017101 $686</v>
      </c>
      <c r="J367" s="21" t="n">
        <f aca="false">LEN(I367)</f>
        <v>30</v>
      </c>
      <c r="K367" s="21" t="n">
        <f aca="false">CODE(RIGHT(I367,1))</f>
        <v>54</v>
      </c>
      <c r="L367" s="14" t="str">
        <f aca="false">SUBSTITUTE(I367,"PR:","")</f>
        <v>Books SP:Barney2017101 $686</v>
      </c>
      <c r="M367" s="14" t="str">
        <f aca="false">SUBSTITUTE(L367,"SP:","")</f>
        <v>Books Barney2017101 $686</v>
      </c>
      <c r="N367" s="15" t="str">
        <f aca="false">SUBSTITUTE(M367,"201710"," 201710")</f>
        <v>Books Barney 2017101 $686</v>
      </c>
      <c r="O367" s="21" t="n">
        <f aca="false">FIND(" ",N367)</f>
        <v>6</v>
      </c>
      <c r="P367" s="21" t="n">
        <f aca="false">FIND(" ",N367,O367+1)</f>
        <v>13</v>
      </c>
      <c r="Q367" s="21" t="n">
        <f aca="false">FIND(" ",N367,P367+1)</f>
        <v>21</v>
      </c>
      <c r="R367" s="26" t="str">
        <f aca="false">LEFT(N367,O367-1)</f>
        <v>Books</v>
      </c>
      <c r="S367" s="26" t="str">
        <f aca="false">MID(N367,O367+1,P367-O367-1)</f>
        <v>Barney</v>
      </c>
      <c r="T367" s="26" t="str">
        <f aca="false">MID(N367,P367+1,Q367-P367-1)</f>
        <v>2017101</v>
      </c>
      <c r="U367" s="26" t="n">
        <f aca="false">VALUE(MID(N367,Q367+2,90))</f>
        <v>686</v>
      </c>
      <c r="V367" s="27" t="n">
        <f aca="false">DATE(2017,10,MID(T367,7,2))</f>
        <v>43009</v>
      </c>
    </row>
    <row r="368" customFormat="false" ht="14.25" hidden="false" customHeight="false" outlineLevel="0" collapsed="false">
      <c r="A368" s="23" t="n">
        <f aca="false">A367+1</f>
        <v>364</v>
      </c>
      <c r="B368" s="14" t="s">
        <v>382</v>
      </c>
      <c r="C368" s="21" t="n">
        <f aca="false">CODE(RIGHT(B368,1))</f>
        <v>29</v>
      </c>
      <c r="D368" s="14" t="str">
        <f aca="false">CLEAN(B368)</f>
        <v>/////PR:Clothing_____SP:David2017109     $1703   </v>
      </c>
      <c r="E368" s="21" t="n">
        <f aca="false">CODE(RIGHT(D368,1))</f>
        <v>32</v>
      </c>
      <c r="F368" s="14" t="str">
        <f aca="false">SUBSTITUTE(D368,_xlfn.UNICHAR(160)," ")</f>
        <v>/////PR:Clothing_____SP:David2017109     $1703   </v>
      </c>
      <c r="G368" s="14" t="str">
        <f aca="false">SUBSTITUTE(F368,"/","")</f>
        <v>PR:Clothing_____SP:David2017109     $1703   </v>
      </c>
      <c r="H368" s="14" t="str">
        <f aca="false">SUBSTITUTE(G368,"_"," ")</f>
        <v>PR:Clothing     SP:David2017109     $1703   </v>
      </c>
      <c r="I368" s="14" t="str">
        <f aca="false">TRIM(H368)</f>
        <v>PR:Clothing SP:David2017109 $1703</v>
      </c>
      <c r="J368" s="21" t="n">
        <f aca="false">LEN(I368)</f>
        <v>33</v>
      </c>
      <c r="K368" s="21" t="n">
        <f aca="false">CODE(RIGHT(I368,1))</f>
        <v>51</v>
      </c>
      <c r="L368" s="14" t="str">
        <f aca="false">SUBSTITUTE(I368,"PR:","")</f>
        <v>Clothing SP:David2017109 $1703</v>
      </c>
      <c r="M368" s="14" t="str">
        <f aca="false">SUBSTITUTE(L368,"SP:","")</f>
        <v>Clothing David2017109 $1703</v>
      </c>
      <c r="N368" s="15" t="str">
        <f aca="false">SUBSTITUTE(M368,"201710"," 201710")</f>
        <v>Clothing David 2017109 $1703</v>
      </c>
      <c r="O368" s="21" t="n">
        <f aca="false">FIND(" ",N368)</f>
        <v>9</v>
      </c>
      <c r="P368" s="21" t="n">
        <f aca="false">FIND(" ",N368,O368+1)</f>
        <v>15</v>
      </c>
      <c r="Q368" s="21" t="n">
        <f aca="false">FIND(" ",N368,P368+1)</f>
        <v>23</v>
      </c>
      <c r="R368" s="26" t="str">
        <f aca="false">LEFT(N368,O368-1)</f>
        <v>Clothing</v>
      </c>
      <c r="S368" s="26" t="str">
        <f aca="false">MID(N368,O368+1,P368-O368-1)</f>
        <v>David</v>
      </c>
      <c r="T368" s="26" t="str">
        <f aca="false">MID(N368,P368+1,Q368-P368-1)</f>
        <v>2017109</v>
      </c>
      <c r="U368" s="26" t="n">
        <f aca="false">VALUE(MID(N368,Q368+2,90))</f>
        <v>1703</v>
      </c>
      <c r="V368" s="27" t="n">
        <f aca="false">DATE(2017,10,MID(T368,7,2))</f>
        <v>43017</v>
      </c>
    </row>
    <row r="369" customFormat="false" ht="14.25" hidden="false" customHeight="false" outlineLevel="0" collapsed="false">
      <c r="A369" s="23" t="n">
        <f aca="false">A368+1</f>
        <v>365</v>
      </c>
      <c r="B369" s="14" t="s">
        <v>383</v>
      </c>
      <c r="C369" s="21" t="n">
        <f aca="false">CODE(RIGHT(B369,1))</f>
        <v>28</v>
      </c>
      <c r="D369" s="14" t="str">
        <f aca="false">CLEAN(B369)</f>
        <v>///PR:Music_SP:David20171021   $1038 </v>
      </c>
      <c r="E369" s="21" t="n">
        <f aca="false">CODE(RIGHT(D369,1))</f>
        <v>32</v>
      </c>
      <c r="F369" s="14" t="str">
        <f aca="false">SUBSTITUTE(D369,_xlfn.UNICHAR(160)," ")</f>
        <v>///PR:Music_SP:David20171021   $1038 </v>
      </c>
      <c r="G369" s="14" t="str">
        <f aca="false">SUBSTITUTE(F369,"/","")</f>
        <v>PR:Music_SP:David20171021   $1038 </v>
      </c>
      <c r="H369" s="14" t="str">
        <f aca="false">SUBSTITUTE(G369,"_"," ")</f>
        <v>PR:Music SP:David20171021   $1038 </v>
      </c>
      <c r="I369" s="14" t="str">
        <f aca="false">TRIM(H369)</f>
        <v>PR:Music SP:David20171021 $1038</v>
      </c>
      <c r="J369" s="21" t="n">
        <f aca="false">LEN(I369)</f>
        <v>31</v>
      </c>
      <c r="K369" s="21" t="n">
        <f aca="false">CODE(RIGHT(I369,1))</f>
        <v>56</v>
      </c>
      <c r="L369" s="14" t="str">
        <f aca="false">SUBSTITUTE(I369,"PR:","")</f>
        <v>Music SP:David20171021 $1038</v>
      </c>
      <c r="M369" s="14" t="str">
        <f aca="false">SUBSTITUTE(L369,"SP:","")</f>
        <v>Music David20171021 $1038</v>
      </c>
      <c r="N369" s="15" t="str">
        <f aca="false">SUBSTITUTE(M369,"201710"," 201710")</f>
        <v>Music David 20171021 $1038</v>
      </c>
      <c r="O369" s="21" t="n">
        <f aca="false">FIND(" ",N369)</f>
        <v>6</v>
      </c>
      <c r="P369" s="21" t="n">
        <f aca="false">FIND(" ",N369,O369+1)</f>
        <v>12</v>
      </c>
      <c r="Q369" s="21" t="n">
        <f aca="false">FIND(" ",N369,P369+1)</f>
        <v>21</v>
      </c>
      <c r="R369" s="26" t="str">
        <f aca="false">LEFT(N369,O369-1)</f>
        <v>Music</v>
      </c>
      <c r="S369" s="26" t="str">
        <f aca="false">MID(N369,O369+1,P369-O369-1)</f>
        <v>David</v>
      </c>
      <c r="T369" s="26" t="str">
        <f aca="false">MID(N369,P369+1,Q369-P369-1)</f>
        <v>20171021</v>
      </c>
      <c r="U369" s="26" t="n">
        <f aca="false">VALUE(MID(N369,Q369+2,90))</f>
        <v>1038</v>
      </c>
      <c r="V369" s="27" t="n">
        <f aca="false">DATE(2017,10,MID(T369,7,2))</f>
        <v>43029</v>
      </c>
    </row>
    <row r="370" customFormat="false" ht="14.25" hidden="false" customHeight="false" outlineLevel="0" collapsed="false">
      <c r="A370" s="23" t="n">
        <f aca="false">A369+1</f>
        <v>366</v>
      </c>
      <c r="B370" s="14" t="s">
        <v>384</v>
      </c>
      <c r="C370" s="21" t="n">
        <f aca="false">CODE(RIGHT(B370,1))</f>
        <v>31</v>
      </c>
      <c r="D370" s="14" t="str">
        <f aca="false">CLEAN(B370)</f>
        <v>////PR:Games__SP:David20171013 $1573    </v>
      </c>
      <c r="E370" s="21" t="n">
        <f aca="false">CODE(RIGHT(D370,1))</f>
        <v>32</v>
      </c>
      <c r="F370" s="14" t="str">
        <f aca="false">SUBSTITUTE(D370,_xlfn.UNICHAR(160)," ")</f>
        <v>////PR:Games__SP:David20171013 $1573    </v>
      </c>
      <c r="G370" s="14" t="str">
        <f aca="false">SUBSTITUTE(F370,"/","")</f>
        <v>PR:Games__SP:David20171013 $1573    </v>
      </c>
      <c r="H370" s="14" t="str">
        <f aca="false">SUBSTITUTE(G370,"_"," ")</f>
        <v>PR:Games  SP:David20171013 $1573    </v>
      </c>
      <c r="I370" s="14" t="str">
        <f aca="false">TRIM(H370)</f>
        <v>PR:Games SP:David20171013 $1573</v>
      </c>
      <c r="J370" s="21" t="n">
        <f aca="false">LEN(I370)</f>
        <v>31</v>
      </c>
      <c r="K370" s="21" t="n">
        <f aca="false">CODE(RIGHT(I370,1))</f>
        <v>51</v>
      </c>
      <c r="L370" s="14" t="str">
        <f aca="false">SUBSTITUTE(I370,"PR:","")</f>
        <v>Games SP:David20171013 $1573</v>
      </c>
      <c r="M370" s="14" t="str">
        <f aca="false">SUBSTITUTE(L370,"SP:","")</f>
        <v>Games David20171013 $1573</v>
      </c>
      <c r="N370" s="15" t="str">
        <f aca="false">SUBSTITUTE(M370,"201710"," 201710")</f>
        <v>Games David 20171013 $1573</v>
      </c>
      <c r="O370" s="21" t="n">
        <f aca="false">FIND(" ",N370)</f>
        <v>6</v>
      </c>
      <c r="P370" s="21" t="n">
        <f aca="false">FIND(" ",N370,O370+1)</f>
        <v>12</v>
      </c>
      <c r="Q370" s="21" t="n">
        <f aca="false">FIND(" ",N370,P370+1)</f>
        <v>21</v>
      </c>
      <c r="R370" s="26" t="str">
        <f aca="false">LEFT(N370,O370-1)</f>
        <v>Games</v>
      </c>
      <c r="S370" s="26" t="str">
        <f aca="false">MID(N370,O370+1,P370-O370-1)</f>
        <v>David</v>
      </c>
      <c r="T370" s="26" t="str">
        <f aca="false">MID(N370,P370+1,Q370-P370-1)</f>
        <v>20171013</v>
      </c>
      <c r="U370" s="26" t="n">
        <f aca="false">VALUE(MID(N370,Q370+2,90))</f>
        <v>1573</v>
      </c>
      <c r="V370" s="27" t="n">
        <f aca="false">DATE(2017,10,MID(T370,7,2))</f>
        <v>43021</v>
      </c>
    </row>
    <row r="371" customFormat="false" ht="14.25" hidden="false" customHeight="false" outlineLevel="0" collapsed="false">
      <c r="A371" s="23" t="n">
        <f aca="false">A370+1</f>
        <v>367</v>
      </c>
      <c r="B371" s="14" t="s">
        <v>385</v>
      </c>
      <c r="C371" s="21" t="n">
        <f aca="false">CODE(RIGHT(B371,1))</f>
        <v>31</v>
      </c>
      <c r="D371" s="14" t="str">
        <f aca="false">CLEAN(B371)</f>
        <v>//PR:Games____SP:Alice20171031     $1364 </v>
      </c>
      <c r="E371" s="21" t="n">
        <f aca="false">CODE(RIGHT(D371,1))</f>
        <v>32</v>
      </c>
      <c r="F371" s="14" t="str">
        <f aca="false">SUBSTITUTE(D371,_xlfn.UNICHAR(160)," ")</f>
        <v>//PR:Games____SP:Alice20171031     $1364 </v>
      </c>
      <c r="G371" s="14" t="str">
        <f aca="false">SUBSTITUTE(F371,"/","")</f>
        <v>PR:Games____SP:Alice20171031     $1364 </v>
      </c>
      <c r="H371" s="14" t="str">
        <f aca="false">SUBSTITUTE(G371,"_"," ")</f>
        <v>PR:Games    SP:Alice20171031     $1364 </v>
      </c>
      <c r="I371" s="14" t="str">
        <f aca="false">TRIM(H371)</f>
        <v>PR:Games SP:Alice20171031 $1364</v>
      </c>
      <c r="J371" s="21" t="n">
        <f aca="false">LEN(I371)</f>
        <v>31</v>
      </c>
      <c r="K371" s="21" t="n">
        <f aca="false">CODE(RIGHT(I371,1))</f>
        <v>52</v>
      </c>
      <c r="L371" s="14" t="str">
        <f aca="false">SUBSTITUTE(I371,"PR:","")</f>
        <v>Games SP:Alice20171031 $1364</v>
      </c>
      <c r="M371" s="14" t="str">
        <f aca="false">SUBSTITUTE(L371,"SP:","")</f>
        <v>Games Alice20171031 $1364</v>
      </c>
      <c r="N371" s="15" t="str">
        <f aca="false">SUBSTITUTE(M371,"201710"," 201710")</f>
        <v>Games Alice 20171031 $1364</v>
      </c>
      <c r="O371" s="21" t="n">
        <f aca="false">FIND(" ",N371)</f>
        <v>6</v>
      </c>
      <c r="P371" s="21" t="n">
        <f aca="false">FIND(" ",N371,O371+1)</f>
        <v>12</v>
      </c>
      <c r="Q371" s="21" t="n">
        <f aca="false">FIND(" ",N371,P371+1)</f>
        <v>21</v>
      </c>
      <c r="R371" s="26" t="str">
        <f aca="false">LEFT(N371,O371-1)</f>
        <v>Games</v>
      </c>
      <c r="S371" s="26" t="str">
        <f aca="false">MID(N371,O371+1,P371-O371-1)</f>
        <v>Alice</v>
      </c>
      <c r="T371" s="26" t="str">
        <f aca="false">MID(N371,P371+1,Q371-P371-1)</f>
        <v>20171031</v>
      </c>
      <c r="U371" s="26" t="n">
        <f aca="false">VALUE(MID(N371,Q371+2,90))</f>
        <v>1364</v>
      </c>
      <c r="V371" s="27" t="n">
        <f aca="false">DATE(2017,10,MID(T371,7,2))</f>
        <v>43039</v>
      </c>
    </row>
    <row r="372" customFormat="false" ht="14.25" hidden="false" customHeight="false" outlineLevel="0" collapsed="false">
      <c r="A372" s="23" t="n">
        <f aca="false">A371+1</f>
        <v>368</v>
      </c>
      <c r="B372" s="14" t="s">
        <v>386</v>
      </c>
      <c r="C372" s="21" t="n">
        <f aca="false">CODE(RIGHT(B372,1))</f>
        <v>30</v>
      </c>
      <c r="D372" s="14" t="str">
        <f aca="false">CLEAN(B372)</f>
        <v>/////PR:Clothing__SP:David20171015    $1281  </v>
      </c>
      <c r="E372" s="21" t="n">
        <f aca="false">CODE(RIGHT(D372,1))</f>
        <v>32</v>
      </c>
      <c r="F372" s="14" t="str">
        <f aca="false">SUBSTITUTE(D372,_xlfn.UNICHAR(160)," ")</f>
        <v>/////PR:Clothing__SP:David20171015    $1281  </v>
      </c>
      <c r="G372" s="14" t="str">
        <f aca="false">SUBSTITUTE(F372,"/","")</f>
        <v>PR:Clothing__SP:David20171015    $1281  </v>
      </c>
      <c r="H372" s="14" t="str">
        <f aca="false">SUBSTITUTE(G372,"_"," ")</f>
        <v>PR:Clothing  SP:David20171015    $1281  </v>
      </c>
      <c r="I372" s="14" t="str">
        <f aca="false">TRIM(H372)</f>
        <v>PR:Clothing SP:David20171015 $1281</v>
      </c>
      <c r="J372" s="21" t="n">
        <f aca="false">LEN(I372)</f>
        <v>34</v>
      </c>
      <c r="K372" s="21" t="n">
        <f aca="false">CODE(RIGHT(I372,1))</f>
        <v>49</v>
      </c>
      <c r="L372" s="14" t="str">
        <f aca="false">SUBSTITUTE(I372,"PR:","")</f>
        <v>Clothing SP:David20171015 $1281</v>
      </c>
      <c r="M372" s="14" t="str">
        <f aca="false">SUBSTITUTE(L372,"SP:","")</f>
        <v>Clothing David20171015 $1281</v>
      </c>
      <c r="N372" s="15" t="str">
        <f aca="false">SUBSTITUTE(M372,"201710"," 201710")</f>
        <v>Clothing David 20171015 $1281</v>
      </c>
      <c r="O372" s="21" t="n">
        <f aca="false">FIND(" ",N372)</f>
        <v>9</v>
      </c>
      <c r="P372" s="21" t="n">
        <f aca="false">FIND(" ",N372,O372+1)</f>
        <v>15</v>
      </c>
      <c r="Q372" s="21" t="n">
        <f aca="false">FIND(" ",N372,P372+1)</f>
        <v>24</v>
      </c>
      <c r="R372" s="26" t="str">
        <f aca="false">LEFT(N372,O372-1)</f>
        <v>Clothing</v>
      </c>
      <c r="S372" s="26" t="str">
        <f aca="false">MID(N372,O372+1,P372-O372-1)</f>
        <v>David</v>
      </c>
      <c r="T372" s="26" t="str">
        <f aca="false">MID(N372,P372+1,Q372-P372-1)</f>
        <v>20171015</v>
      </c>
      <c r="U372" s="26" t="n">
        <f aca="false">VALUE(MID(N372,Q372+2,90))</f>
        <v>1281</v>
      </c>
      <c r="V372" s="27" t="n">
        <f aca="false">DATE(2017,10,MID(T372,7,2))</f>
        <v>43023</v>
      </c>
    </row>
    <row r="373" customFormat="false" ht="14.25" hidden="false" customHeight="false" outlineLevel="0" collapsed="false">
      <c r="A373" s="23" t="n">
        <f aca="false">A372+1</f>
        <v>369</v>
      </c>
      <c r="B373" s="14" t="s">
        <v>387</v>
      </c>
      <c r="C373" s="21" t="n">
        <f aca="false">CODE(RIGHT(B373,1))</f>
        <v>29</v>
      </c>
      <c r="D373" s="14" t="str">
        <f aca="false">CLEAN(B373)</f>
        <v>//PR:Books_____SP:David20171022     $996 </v>
      </c>
      <c r="E373" s="21" t="n">
        <f aca="false">CODE(RIGHT(D373,1))</f>
        <v>32</v>
      </c>
      <c r="F373" s="14" t="str">
        <f aca="false">SUBSTITUTE(D373,_xlfn.UNICHAR(160)," ")</f>
        <v>//PR:Books_____SP:David20171022     $996 </v>
      </c>
      <c r="G373" s="14" t="str">
        <f aca="false">SUBSTITUTE(F373,"/","")</f>
        <v>PR:Books_____SP:David20171022     $996 </v>
      </c>
      <c r="H373" s="14" t="str">
        <f aca="false">SUBSTITUTE(G373,"_"," ")</f>
        <v>PR:Books     SP:David20171022     $996 </v>
      </c>
      <c r="I373" s="14" t="str">
        <f aca="false">TRIM(H373)</f>
        <v>PR:Books SP:David20171022 $996</v>
      </c>
      <c r="J373" s="21" t="n">
        <f aca="false">LEN(I373)</f>
        <v>30</v>
      </c>
      <c r="K373" s="21" t="n">
        <f aca="false">CODE(RIGHT(I373,1))</f>
        <v>54</v>
      </c>
      <c r="L373" s="14" t="str">
        <f aca="false">SUBSTITUTE(I373,"PR:","")</f>
        <v>Books SP:David20171022 $996</v>
      </c>
      <c r="M373" s="14" t="str">
        <f aca="false">SUBSTITUTE(L373,"SP:","")</f>
        <v>Books David20171022 $996</v>
      </c>
      <c r="N373" s="15" t="str">
        <f aca="false">SUBSTITUTE(M373,"201710"," 201710")</f>
        <v>Books David 20171022 $996</v>
      </c>
      <c r="O373" s="21" t="n">
        <f aca="false">FIND(" ",N373)</f>
        <v>6</v>
      </c>
      <c r="P373" s="21" t="n">
        <f aca="false">FIND(" ",N373,O373+1)</f>
        <v>12</v>
      </c>
      <c r="Q373" s="21" t="n">
        <f aca="false">FIND(" ",N373,P373+1)</f>
        <v>21</v>
      </c>
      <c r="R373" s="26" t="str">
        <f aca="false">LEFT(N373,O373-1)</f>
        <v>Books</v>
      </c>
      <c r="S373" s="26" t="str">
        <f aca="false">MID(N373,O373+1,P373-O373-1)</f>
        <v>David</v>
      </c>
      <c r="T373" s="26" t="str">
        <f aca="false">MID(N373,P373+1,Q373-P373-1)</f>
        <v>20171022</v>
      </c>
      <c r="U373" s="26" t="n">
        <f aca="false">VALUE(MID(N373,Q373+2,90))</f>
        <v>996</v>
      </c>
      <c r="V373" s="27" t="n">
        <f aca="false">DATE(2017,10,MID(T373,7,2))</f>
        <v>43030</v>
      </c>
    </row>
    <row r="374" customFormat="false" ht="14.25" hidden="false" customHeight="false" outlineLevel="0" collapsed="false">
      <c r="A374" s="23" t="n">
        <f aca="false">A373+1</f>
        <v>370</v>
      </c>
      <c r="B374" s="14" t="s">
        <v>388</v>
      </c>
      <c r="C374" s="21" t="n">
        <f aca="false">CODE(RIGHT(B374,1))</f>
        <v>29</v>
      </c>
      <c r="D374" s="14" t="str">
        <f aca="false">CLEAN(B374)</f>
        <v>////PR:Music____SP:Alice2017108   $0    </v>
      </c>
      <c r="E374" s="21" t="n">
        <f aca="false">CODE(RIGHT(D374,1))</f>
        <v>32</v>
      </c>
      <c r="F374" s="14" t="str">
        <f aca="false">SUBSTITUTE(D374,_xlfn.UNICHAR(160)," ")</f>
        <v>////PR:Music____SP:Alice2017108   $0    </v>
      </c>
      <c r="G374" s="14" t="str">
        <f aca="false">SUBSTITUTE(F374,"/","")</f>
        <v>PR:Music____SP:Alice2017108   $0    </v>
      </c>
      <c r="H374" s="14" t="str">
        <f aca="false">SUBSTITUTE(G374,"_"," ")</f>
        <v>PR:Music    SP:Alice2017108   $0    </v>
      </c>
      <c r="I374" s="14" t="str">
        <f aca="false">TRIM(H374)</f>
        <v>PR:Music SP:Alice2017108 $0</v>
      </c>
      <c r="J374" s="21" t="n">
        <f aca="false">LEN(I374)</f>
        <v>27</v>
      </c>
      <c r="K374" s="21" t="n">
        <f aca="false">CODE(RIGHT(I374,1))</f>
        <v>48</v>
      </c>
      <c r="L374" s="14" t="str">
        <f aca="false">SUBSTITUTE(I374,"PR:","")</f>
        <v>Music SP:Alice2017108 $0</v>
      </c>
      <c r="M374" s="14" t="str">
        <f aca="false">SUBSTITUTE(L374,"SP:","")</f>
        <v>Music Alice2017108 $0</v>
      </c>
      <c r="N374" s="15" t="str">
        <f aca="false">SUBSTITUTE(M374,"201710"," 201710")</f>
        <v>Music Alice 2017108 $0</v>
      </c>
      <c r="O374" s="21" t="n">
        <f aca="false">FIND(" ",N374)</f>
        <v>6</v>
      </c>
      <c r="P374" s="21" t="n">
        <f aca="false">FIND(" ",N374,O374+1)</f>
        <v>12</v>
      </c>
      <c r="Q374" s="21" t="n">
        <f aca="false">FIND(" ",N374,P374+1)</f>
        <v>20</v>
      </c>
      <c r="R374" s="26" t="str">
        <f aca="false">LEFT(N374,O374-1)</f>
        <v>Music</v>
      </c>
      <c r="S374" s="26" t="str">
        <f aca="false">MID(N374,O374+1,P374-O374-1)</f>
        <v>Alice</v>
      </c>
      <c r="T374" s="26" t="str">
        <f aca="false">MID(N374,P374+1,Q374-P374-1)</f>
        <v>2017108</v>
      </c>
      <c r="U374" s="26" t="n">
        <f aca="false">VALUE(MID(N374,Q374+2,90))</f>
        <v>0</v>
      </c>
      <c r="V374" s="27" t="n">
        <f aca="false">DATE(2017,10,MID(T374,7,2))</f>
        <v>43016</v>
      </c>
    </row>
    <row r="375" customFormat="false" ht="14.25" hidden="false" customHeight="false" outlineLevel="0" collapsed="false">
      <c r="A375" s="23" t="n">
        <f aca="false">A374+1</f>
        <v>371</v>
      </c>
      <c r="B375" s="14" t="s">
        <v>389</v>
      </c>
      <c r="C375" s="21" t="n">
        <f aca="false">CODE(RIGHT(B375,1))</f>
        <v>28</v>
      </c>
      <c r="D375" s="14" t="str">
        <f aca="false">CLEAN(B375)</f>
        <v>/PR:Books_____SP:Carol20171027   $528  </v>
      </c>
      <c r="E375" s="21" t="n">
        <f aca="false">CODE(RIGHT(D375,1))</f>
        <v>32</v>
      </c>
      <c r="F375" s="14" t="str">
        <f aca="false">SUBSTITUTE(D375,_xlfn.UNICHAR(160)," ")</f>
        <v>/PR:Books_____SP:Carol20171027   $528  </v>
      </c>
      <c r="G375" s="14" t="str">
        <f aca="false">SUBSTITUTE(F375,"/","")</f>
        <v>PR:Books_____SP:Carol20171027   $528  </v>
      </c>
      <c r="H375" s="14" t="str">
        <f aca="false">SUBSTITUTE(G375,"_"," ")</f>
        <v>PR:Books     SP:Carol20171027   $528  </v>
      </c>
      <c r="I375" s="14" t="str">
        <f aca="false">TRIM(H375)</f>
        <v>PR:Books SP:Carol20171027 $528</v>
      </c>
      <c r="J375" s="21" t="n">
        <f aca="false">LEN(I375)</f>
        <v>30</v>
      </c>
      <c r="K375" s="21" t="n">
        <f aca="false">CODE(RIGHT(I375,1))</f>
        <v>56</v>
      </c>
      <c r="L375" s="14" t="str">
        <f aca="false">SUBSTITUTE(I375,"PR:","")</f>
        <v>Books SP:Carol20171027 $528</v>
      </c>
      <c r="M375" s="14" t="str">
        <f aca="false">SUBSTITUTE(L375,"SP:","")</f>
        <v>Books Carol20171027 $528</v>
      </c>
      <c r="N375" s="15" t="str">
        <f aca="false">SUBSTITUTE(M375,"201710"," 201710")</f>
        <v>Books Carol 20171027 $528</v>
      </c>
      <c r="O375" s="21" t="n">
        <f aca="false">FIND(" ",N375)</f>
        <v>6</v>
      </c>
      <c r="P375" s="21" t="n">
        <f aca="false">FIND(" ",N375,O375+1)</f>
        <v>12</v>
      </c>
      <c r="Q375" s="21" t="n">
        <f aca="false">FIND(" ",N375,P375+1)</f>
        <v>21</v>
      </c>
      <c r="R375" s="26" t="str">
        <f aca="false">LEFT(N375,O375-1)</f>
        <v>Books</v>
      </c>
      <c r="S375" s="26" t="str">
        <f aca="false">MID(N375,O375+1,P375-O375-1)</f>
        <v>Carol</v>
      </c>
      <c r="T375" s="26" t="str">
        <f aca="false">MID(N375,P375+1,Q375-P375-1)</f>
        <v>20171027</v>
      </c>
      <c r="U375" s="26" t="n">
        <f aca="false">VALUE(MID(N375,Q375+2,90))</f>
        <v>528</v>
      </c>
      <c r="V375" s="27" t="n">
        <f aca="false">DATE(2017,10,MID(T375,7,2))</f>
        <v>43035</v>
      </c>
    </row>
    <row r="376" customFormat="false" ht="14.25" hidden="false" customHeight="false" outlineLevel="0" collapsed="false">
      <c r="A376" s="23" t="n">
        <f aca="false">A375+1</f>
        <v>372</v>
      </c>
      <c r="B376" s="14" t="s">
        <v>390</v>
      </c>
      <c r="C376" s="21" t="n">
        <f aca="false">CODE(RIGHT(B376,1))</f>
        <v>30</v>
      </c>
      <c r="D376" s="14" t="str">
        <f aca="false">CLEAN(B376)</f>
        <v>///PR:Books_SP:Barney20171012    $789     </v>
      </c>
      <c r="E376" s="21" t="n">
        <f aca="false">CODE(RIGHT(D376,1))</f>
        <v>32</v>
      </c>
      <c r="F376" s="14" t="str">
        <f aca="false">SUBSTITUTE(D376,_xlfn.UNICHAR(160)," ")</f>
        <v>///PR:Books_SP:Barney20171012    $789     </v>
      </c>
      <c r="G376" s="14" t="str">
        <f aca="false">SUBSTITUTE(F376,"/","")</f>
        <v>PR:Books_SP:Barney20171012    $789     </v>
      </c>
      <c r="H376" s="14" t="str">
        <f aca="false">SUBSTITUTE(G376,"_"," ")</f>
        <v>PR:Books SP:Barney20171012    $789     </v>
      </c>
      <c r="I376" s="14" t="str">
        <f aca="false">TRIM(H376)</f>
        <v>PR:Books SP:Barney20171012 $789</v>
      </c>
      <c r="J376" s="21" t="n">
        <f aca="false">LEN(I376)</f>
        <v>31</v>
      </c>
      <c r="K376" s="21" t="n">
        <f aca="false">CODE(RIGHT(I376,1))</f>
        <v>57</v>
      </c>
      <c r="L376" s="14" t="str">
        <f aca="false">SUBSTITUTE(I376,"PR:","")</f>
        <v>Books SP:Barney20171012 $789</v>
      </c>
      <c r="M376" s="14" t="str">
        <f aca="false">SUBSTITUTE(L376,"SP:","")</f>
        <v>Books Barney20171012 $789</v>
      </c>
      <c r="N376" s="15" t="str">
        <f aca="false">SUBSTITUTE(M376,"201710"," 201710")</f>
        <v>Books Barney 20171012 $789</v>
      </c>
      <c r="O376" s="21" t="n">
        <f aca="false">FIND(" ",N376)</f>
        <v>6</v>
      </c>
      <c r="P376" s="21" t="n">
        <f aca="false">FIND(" ",N376,O376+1)</f>
        <v>13</v>
      </c>
      <c r="Q376" s="21" t="n">
        <f aca="false">FIND(" ",N376,P376+1)</f>
        <v>22</v>
      </c>
      <c r="R376" s="26" t="str">
        <f aca="false">LEFT(N376,O376-1)</f>
        <v>Books</v>
      </c>
      <c r="S376" s="26" t="str">
        <f aca="false">MID(N376,O376+1,P376-O376-1)</f>
        <v>Barney</v>
      </c>
      <c r="T376" s="26" t="str">
        <f aca="false">MID(N376,P376+1,Q376-P376-1)</f>
        <v>20171012</v>
      </c>
      <c r="U376" s="26" t="n">
        <f aca="false">VALUE(MID(N376,Q376+2,90))</f>
        <v>789</v>
      </c>
      <c r="V376" s="27" t="n">
        <f aca="false">DATE(2017,10,MID(T376,7,2))</f>
        <v>43020</v>
      </c>
    </row>
    <row r="377" customFormat="false" ht="14.25" hidden="false" customHeight="false" outlineLevel="0" collapsed="false">
      <c r="A377" s="23" t="n">
        <f aca="false">A376+1</f>
        <v>373</v>
      </c>
      <c r="B377" s="14" t="s">
        <v>391</v>
      </c>
      <c r="C377" s="21" t="n">
        <f aca="false">CODE(RIGHT(B377,1))</f>
        <v>28</v>
      </c>
      <c r="D377" s="14" t="str">
        <f aca="false">CLEAN(B377)</f>
        <v>////PR:Games_SP:Alice2017103     $0 </v>
      </c>
      <c r="E377" s="21" t="n">
        <f aca="false">CODE(RIGHT(D377,1))</f>
        <v>32</v>
      </c>
      <c r="F377" s="14" t="str">
        <f aca="false">SUBSTITUTE(D377,_xlfn.UNICHAR(160)," ")</f>
        <v>////PR:Games_SP:Alice2017103     $0 </v>
      </c>
      <c r="G377" s="14" t="str">
        <f aca="false">SUBSTITUTE(F377,"/","")</f>
        <v>PR:Games_SP:Alice2017103     $0 </v>
      </c>
      <c r="H377" s="14" t="str">
        <f aca="false">SUBSTITUTE(G377,"_"," ")</f>
        <v>PR:Games SP:Alice2017103     $0 </v>
      </c>
      <c r="I377" s="14" t="str">
        <f aca="false">TRIM(H377)</f>
        <v>PR:Games SP:Alice2017103 $0</v>
      </c>
      <c r="J377" s="21" t="n">
        <f aca="false">LEN(I377)</f>
        <v>27</v>
      </c>
      <c r="K377" s="21" t="n">
        <f aca="false">CODE(RIGHT(I377,1))</f>
        <v>48</v>
      </c>
      <c r="L377" s="14" t="str">
        <f aca="false">SUBSTITUTE(I377,"PR:","")</f>
        <v>Games SP:Alice2017103 $0</v>
      </c>
      <c r="M377" s="14" t="str">
        <f aca="false">SUBSTITUTE(L377,"SP:","")</f>
        <v>Games Alice2017103 $0</v>
      </c>
      <c r="N377" s="15" t="str">
        <f aca="false">SUBSTITUTE(M377,"201710"," 201710")</f>
        <v>Games Alice 2017103 $0</v>
      </c>
      <c r="O377" s="21" t="n">
        <f aca="false">FIND(" ",N377)</f>
        <v>6</v>
      </c>
      <c r="P377" s="21" t="n">
        <f aca="false">FIND(" ",N377,O377+1)</f>
        <v>12</v>
      </c>
      <c r="Q377" s="21" t="n">
        <f aca="false">FIND(" ",N377,P377+1)</f>
        <v>20</v>
      </c>
      <c r="R377" s="26" t="str">
        <f aca="false">LEFT(N377,O377-1)</f>
        <v>Games</v>
      </c>
      <c r="S377" s="26" t="str">
        <f aca="false">MID(N377,O377+1,P377-O377-1)</f>
        <v>Alice</v>
      </c>
      <c r="T377" s="26" t="str">
        <f aca="false">MID(N377,P377+1,Q377-P377-1)</f>
        <v>2017103</v>
      </c>
      <c r="U377" s="26" t="n">
        <f aca="false">VALUE(MID(N377,Q377+2,90))</f>
        <v>0</v>
      </c>
      <c r="V377" s="27" t="n">
        <f aca="false">DATE(2017,10,MID(T377,7,2))</f>
        <v>43011</v>
      </c>
    </row>
    <row r="378" customFormat="false" ht="14.25" hidden="false" customHeight="false" outlineLevel="0" collapsed="false">
      <c r="A378" s="23" t="n">
        <f aca="false">A377+1</f>
        <v>374</v>
      </c>
      <c r="B378" s="14" t="s">
        <v>392</v>
      </c>
      <c r="C378" s="21" t="n">
        <f aca="false">CODE(RIGHT(B378,1))</f>
        <v>31</v>
      </c>
      <c r="D378" s="14" t="str">
        <f aca="false">CLEAN(B378)</f>
        <v>//PR:Music_____SP:David20171011     $1306  </v>
      </c>
      <c r="E378" s="21" t="n">
        <f aca="false">CODE(RIGHT(D378,1))</f>
        <v>32</v>
      </c>
      <c r="F378" s="14" t="str">
        <f aca="false">SUBSTITUTE(D378,_xlfn.UNICHAR(160)," ")</f>
        <v>//PR:Music_____SP:David20171011     $1306  </v>
      </c>
      <c r="G378" s="14" t="str">
        <f aca="false">SUBSTITUTE(F378,"/","")</f>
        <v>PR:Music_____SP:David20171011     $1306  </v>
      </c>
      <c r="H378" s="14" t="str">
        <f aca="false">SUBSTITUTE(G378,"_"," ")</f>
        <v>PR:Music     SP:David20171011     $1306  </v>
      </c>
      <c r="I378" s="14" t="str">
        <f aca="false">TRIM(H378)</f>
        <v>PR:Music SP:David20171011 $1306</v>
      </c>
      <c r="J378" s="21" t="n">
        <f aca="false">LEN(I378)</f>
        <v>31</v>
      </c>
      <c r="K378" s="21" t="n">
        <f aca="false">CODE(RIGHT(I378,1))</f>
        <v>54</v>
      </c>
      <c r="L378" s="14" t="str">
        <f aca="false">SUBSTITUTE(I378,"PR:","")</f>
        <v>Music SP:David20171011 $1306</v>
      </c>
      <c r="M378" s="14" t="str">
        <f aca="false">SUBSTITUTE(L378,"SP:","")</f>
        <v>Music David20171011 $1306</v>
      </c>
      <c r="N378" s="15" t="str">
        <f aca="false">SUBSTITUTE(M378,"201710"," 201710")</f>
        <v>Music David 20171011 $1306</v>
      </c>
      <c r="O378" s="21" t="n">
        <f aca="false">FIND(" ",N378)</f>
        <v>6</v>
      </c>
      <c r="P378" s="21" t="n">
        <f aca="false">FIND(" ",N378,O378+1)</f>
        <v>12</v>
      </c>
      <c r="Q378" s="21" t="n">
        <f aca="false">FIND(" ",N378,P378+1)</f>
        <v>21</v>
      </c>
      <c r="R378" s="26" t="str">
        <f aca="false">LEFT(N378,O378-1)</f>
        <v>Music</v>
      </c>
      <c r="S378" s="26" t="str">
        <f aca="false">MID(N378,O378+1,P378-O378-1)</f>
        <v>David</v>
      </c>
      <c r="T378" s="26" t="str">
        <f aca="false">MID(N378,P378+1,Q378-P378-1)</f>
        <v>20171011</v>
      </c>
      <c r="U378" s="26" t="n">
        <f aca="false">VALUE(MID(N378,Q378+2,90))</f>
        <v>1306</v>
      </c>
      <c r="V378" s="27" t="n">
        <f aca="false">DATE(2017,10,MID(T378,7,2))</f>
        <v>43019</v>
      </c>
    </row>
    <row r="379" customFormat="false" ht="14.25" hidden="false" customHeight="false" outlineLevel="0" collapsed="false">
      <c r="A379" s="23" t="n">
        <f aca="false">A378+1</f>
        <v>375</v>
      </c>
      <c r="B379" s="14" t="s">
        <v>393</v>
      </c>
      <c r="C379" s="21" t="n">
        <f aca="false">CODE(RIGHT(B379,1))</f>
        <v>29</v>
      </c>
      <c r="D379" s="14" t="str">
        <f aca="false">CLEAN(B379)</f>
        <v>//PR:Clothing__SP:David20171031     $1389  </v>
      </c>
      <c r="E379" s="21" t="n">
        <f aca="false">CODE(RIGHT(D379,1))</f>
        <v>32</v>
      </c>
      <c r="F379" s="14" t="str">
        <f aca="false">SUBSTITUTE(D379,_xlfn.UNICHAR(160)," ")</f>
        <v>//PR:Clothing__SP:David20171031     $1389  </v>
      </c>
      <c r="G379" s="14" t="str">
        <f aca="false">SUBSTITUTE(F379,"/","")</f>
        <v>PR:Clothing__SP:David20171031     $1389  </v>
      </c>
      <c r="H379" s="14" t="str">
        <f aca="false">SUBSTITUTE(G379,"_"," ")</f>
        <v>PR:Clothing  SP:David20171031     $1389  </v>
      </c>
      <c r="I379" s="14" t="str">
        <f aca="false">TRIM(H379)</f>
        <v>PR:Clothing SP:David20171031 $1389</v>
      </c>
      <c r="J379" s="21" t="n">
        <f aca="false">LEN(I379)</f>
        <v>34</v>
      </c>
      <c r="K379" s="21" t="n">
        <f aca="false">CODE(RIGHT(I379,1))</f>
        <v>57</v>
      </c>
      <c r="L379" s="14" t="str">
        <f aca="false">SUBSTITUTE(I379,"PR:","")</f>
        <v>Clothing SP:David20171031 $1389</v>
      </c>
      <c r="M379" s="14" t="str">
        <f aca="false">SUBSTITUTE(L379,"SP:","")</f>
        <v>Clothing David20171031 $1389</v>
      </c>
      <c r="N379" s="15" t="str">
        <f aca="false">SUBSTITUTE(M379,"201710"," 201710")</f>
        <v>Clothing David 20171031 $1389</v>
      </c>
      <c r="O379" s="21" t="n">
        <f aca="false">FIND(" ",N379)</f>
        <v>9</v>
      </c>
      <c r="P379" s="21" t="n">
        <f aca="false">FIND(" ",N379,O379+1)</f>
        <v>15</v>
      </c>
      <c r="Q379" s="21" t="n">
        <f aca="false">FIND(" ",N379,P379+1)</f>
        <v>24</v>
      </c>
      <c r="R379" s="26" t="str">
        <f aca="false">LEFT(N379,O379-1)</f>
        <v>Clothing</v>
      </c>
      <c r="S379" s="26" t="str">
        <f aca="false">MID(N379,O379+1,P379-O379-1)</f>
        <v>David</v>
      </c>
      <c r="T379" s="26" t="str">
        <f aca="false">MID(N379,P379+1,Q379-P379-1)</f>
        <v>20171031</v>
      </c>
      <c r="U379" s="26" t="n">
        <f aca="false">VALUE(MID(N379,Q379+2,90))</f>
        <v>1389</v>
      </c>
      <c r="V379" s="27" t="n">
        <f aca="false">DATE(2017,10,MID(T379,7,2))</f>
        <v>43039</v>
      </c>
    </row>
    <row r="380" customFormat="false" ht="14.25" hidden="false" customHeight="false" outlineLevel="0" collapsed="false">
      <c r="A380" s="23" t="n">
        <f aca="false">A379+1</f>
        <v>376</v>
      </c>
      <c r="B380" s="14" t="s">
        <v>394</v>
      </c>
      <c r="C380" s="21" t="n">
        <f aca="false">CODE(RIGHT(B380,1))</f>
        <v>29</v>
      </c>
      <c r="D380" s="14" t="str">
        <f aca="false">CLEAN(B380)</f>
        <v>/////PR:Clothing_SP:Alice20171029    $1950  </v>
      </c>
      <c r="E380" s="21" t="n">
        <f aca="false">CODE(RIGHT(D380,1))</f>
        <v>32</v>
      </c>
      <c r="F380" s="14" t="str">
        <f aca="false">SUBSTITUTE(D380,_xlfn.UNICHAR(160)," ")</f>
        <v>/////PR:Clothing_SP:Alice20171029    $1950  </v>
      </c>
      <c r="G380" s="14" t="str">
        <f aca="false">SUBSTITUTE(F380,"/","")</f>
        <v>PR:Clothing_SP:Alice20171029    $1950  </v>
      </c>
      <c r="H380" s="14" t="str">
        <f aca="false">SUBSTITUTE(G380,"_"," ")</f>
        <v>PR:Clothing SP:Alice20171029    $1950  </v>
      </c>
      <c r="I380" s="14" t="str">
        <f aca="false">TRIM(H380)</f>
        <v>PR:Clothing SP:Alice20171029 $1950</v>
      </c>
      <c r="J380" s="21" t="n">
        <f aca="false">LEN(I380)</f>
        <v>34</v>
      </c>
      <c r="K380" s="21" t="n">
        <f aca="false">CODE(RIGHT(I380,1))</f>
        <v>48</v>
      </c>
      <c r="L380" s="14" t="str">
        <f aca="false">SUBSTITUTE(I380,"PR:","")</f>
        <v>Clothing SP:Alice20171029 $1950</v>
      </c>
      <c r="M380" s="14" t="str">
        <f aca="false">SUBSTITUTE(L380,"SP:","")</f>
        <v>Clothing Alice20171029 $1950</v>
      </c>
      <c r="N380" s="15" t="str">
        <f aca="false">SUBSTITUTE(M380,"201710"," 201710")</f>
        <v>Clothing Alice 20171029 $1950</v>
      </c>
      <c r="O380" s="21" t="n">
        <f aca="false">FIND(" ",N380)</f>
        <v>9</v>
      </c>
      <c r="P380" s="21" t="n">
        <f aca="false">FIND(" ",N380,O380+1)</f>
        <v>15</v>
      </c>
      <c r="Q380" s="21" t="n">
        <f aca="false">FIND(" ",N380,P380+1)</f>
        <v>24</v>
      </c>
      <c r="R380" s="26" t="str">
        <f aca="false">LEFT(N380,O380-1)</f>
        <v>Clothing</v>
      </c>
      <c r="S380" s="26" t="str">
        <f aca="false">MID(N380,O380+1,P380-O380-1)</f>
        <v>Alice</v>
      </c>
      <c r="T380" s="26" t="str">
        <f aca="false">MID(N380,P380+1,Q380-P380-1)</f>
        <v>20171029</v>
      </c>
      <c r="U380" s="26" t="n">
        <f aca="false">VALUE(MID(N380,Q380+2,90))</f>
        <v>1950</v>
      </c>
      <c r="V380" s="27" t="n">
        <f aca="false">DATE(2017,10,MID(T380,7,2))</f>
        <v>43037</v>
      </c>
    </row>
    <row r="381" customFormat="false" ht="14.25" hidden="false" customHeight="false" outlineLevel="0" collapsed="false">
      <c r="A381" s="23" t="n">
        <f aca="false">A380+1</f>
        <v>377</v>
      </c>
      <c r="B381" s="14" t="s">
        <v>395</v>
      </c>
      <c r="C381" s="21" t="n">
        <f aca="false">CODE(RIGHT(B381,1))</f>
        <v>30</v>
      </c>
      <c r="D381" s="14" t="str">
        <f aca="false">CLEAN(B381)</f>
        <v>///PR:Books_____SP:Alice20171016   $735 </v>
      </c>
      <c r="E381" s="21" t="n">
        <f aca="false">CODE(RIGHT(D381,1))</f>
        <v>32</v>
      </c>
      <c r="F381" s="14" t="str">
        <f aca="false">SUBSTITUTE(D381,_xlfn.UNICHAR(160)," ")</f>
        <v>///PR:Books_____SP:Alice20171016   $735 </v>
      </c>
      <c r="G381" s="14" t="str">
        <f aca="false">SUBSTITUTE(F381,"/","")</f>
        <v>PR:Books_____SP:Alice20171016   $735 </v>
      </c>
      <c r="H381" s="14" t="str">
        <f aca="false">SUBSTITUTE(G381,"_"," ")</f>
        <v>PR:Books     SP:Alice20171016   $735 </v>
      </c>
      <c r="I381" s="14" t="str">
        <f aca="false">TRIM(H381)</f>
        <v>PR:Books SP:Alice20171016 $735</v>
      </c>
      <c r="J381" s="21" t="n">
        <f aca="false">LEN(I381)</f>
        <v>30</v>
      </c>
      <c r="K381" s="21" t="n">
        <f aca="false">CODE(RIGHT(I381,1))</f>
        <v>53</v>
      </c>
      <c r="L381" s="14" t="str">
        <f aca="false">SUBSTITUTE(I381,"PR:","")</f>
        <v>Books SP:Alice20171016 $735</v>
      </c>
      <c r="M381" s="14" t="str">
        <f aca="false">SUBSTITUTE(L381,"SP:","")</f>
        <v>Books Alice20171016 $735</v>
      </c>
      <c r="N381" s="15" t="str">
        <f aca="false">SUBSTITUTE(M381,"201710"," 201710")</f>
        <v>Books Alice 20171016 $735</v>
      </c>
      <c r="O381" s="21" t="n">
        <f aca="false">FIND(" ",N381)</f>
        <v>6</v>
      </c>
      <c r="P381" s="21" t="n">
        <f aca="false">FIND(" ",N381,O381+1)</f>
        <v>12</v>
      </c>
      <c r="Q381" s="21" t="n">
        <f aca="false">FIND(" ",N381,P381+1)</f>
        <v>21</v>
      </c>
      <c r="R381" s="26" t="str">
        <f aca="false">LEFT(N381,O381-1)</f>
        <v>Books</v>
      </c>
      <c r="S381" s="26" t="str">
        <f aca="false">MID(N381,O381+1,P381-O381-1)</f>
        <v>Alice</v>
      </c>
      <c r="T381" s="26" t="str">
        <f aca="false">MID(N381,P381+1,Q381-P381-1)</f>
        <v>20171016</v>
      </c>
      <c r="U381" s="26" t="n">
        <f aca="false">VALUE(MID(N381,Q381+2,90))</f>
        <v>735</v>
      </c>
      <c r="V381" s="27" t="n">
        <f aca="false">DATE(2017,10,MID(T381,7,2))</f>
        <v>43024</v>
      </c>
    </row>
    <row r="382" customFormat="false" ht="14.25" hidden="false" customHeight="false" outlineLevel="0" collapsed="false">
      <c r="A382" s="23" t="n">
        <f aca="false">A381+1</f>
        <v>378</v>
      </c>
      <c r="B382" s="14" t="s">
        <v>396</v>
      </c>
      <c r="C382" s="21" t="n">
        <f aca="false">CODE(RIGHT(B382,1))</f>
        <v>30</v>
      </c>
      <c r="D382" s="14" t="str">
        <f aca="false">CLEAN(B382)</f>
        <v>///PR:Music____SP:Carol2017109  $1368  </v>
      </c>
      <c r="E382" s="21" t="n">
        <f aca="false">CODE(RIGHT(D382,1))</f>
        <v>32</v>
      </c>
      <c r="F382" s="14" t="str">
        <f aca="false">SUBSTITUTE(D382,_xlfn.UNICHAR(160)," ")</f>
        <v>///PR:Music____SP:Carol2017109  $1368  </v>
      </c>
      <c r="G382" s="14" t="str">
        <f aca="false">SUBSTITUTE(F382,"/","")</f>
        <v>PR:Music____SP:Carol2017109  $1368  </v>
      </c>
      <c r="H382" s="14" t="str">
        <f aca="false">SUBSTITUTE(G382,"_"," ")</f>
        <v>PR:Music    SP:Carol2017109  $1368  </v>
      </c>
      <c r="I382" s="14" t="str">
        <f aca="false">TRIM(H382)</f>
        <v>PR:Music SP:Carol2017109 $1368</v>
      </c>
      <c r="J382" s="21" t="n">
        <f aca="false">LEN(I382)</f>
        <v>30</v>
      </c>
      <c r="K382" s="21" t="n">
        <f aca="false">CODE(RIGHT(I382,1))</f>
        <v>56</v>
      </c>
      <c r="L382" s="14" t="str">
        <f aca="false">SUBSTITUTE(I382,"PR:","")</f>
        <v>Music SP:Carol2017109 $1368</v>
      </c>
      <c r="M382" s="14" t="str">
        <f aca="false">SUBSTITUTE(L382,"SP:","")</f>
        <v>Music Carol2017109 $1368</v>
      </c>
      <c r="N382" s="15" t="str">
        <f aca="false">SUBSTITUTE(M382,"201710"," 201710")</f>
        <v>Music Carol 2017109 $1368</v>
      </c>
      <c r="O382" s="21" t="n">
        <f aca="false">FIND(" ",N382)</f>
        <v>6</v>
      </c>
      <c r="P382" s="21" t="n">
        <f aca="false">FIND(" ",N382,O382+1)</f>
        <v>12</v>
      </c>
      <c r="Q382" s="21" t="n">
        <f aca="false">FIND(" ",N382,P382+1)</f>
        <v>20</v>
      </c>
      <c r="R382" s="26" t="str">
        <f aca="false">LEFT(N382,O382-1)</f>
        <v>Music</v>
      </c>
      <c r="S382" s="26" t="str">
        <f aca="false">MID(N382,O382+1,P382-O382-1)</f>
        <v>Carol</v>
      </c>
      <c r="T382" s="26" t="str">
        <f aca="false">MID(N382,P382+1,Q382-P382-1)</f>
        <v>2017109</v>
      </c>
      <c r="U382" s="26" t="n">
        <f aca="false">VALUE(MID(N382,Q382+2,90))</f>
        <v>1368</v>
      </c>
      <c r="V382" s="27" t="n">
        <f aca="false">DATE(2017,10,MID(T382,7,2))</f>
        <v>43017</v>
      </c>
    </row>
    <row r="383" customFormat="false" ht="14.25" hidden="false" customHeight="false" outlineLevel="0" collapsed="false">
      <c r="A383" s="23" t="n">
        <f aca="false">A382+1</f>
        <v>379</v>
      </c>
      <c r="B383" s="14" t="s">
        <v>397</v>
      </c>
      <c r="C383" s="21" t="n">
        <f aca="false">CODE(RIGHT(B383,1))</f>
        <v>31</v>
      </c>
      <c r="D383" s="14" t="str">
        <f aca="false">CLEAN(B383)</f>
        <v>//PR:Clothing_____SP:Alice20171010  $1069 </v>
      </c>
      <c r="E383" s="21" t="n">
        <f aca="false">CODE(RIGHT(D383,1))</f>
        <v>32</v>
      </c>
      <c r="F383" s="14" t="str">
        <f aca="false">SUBSTITUTE(D383,_xlfn.UNICHAR(160)," ")</f>
        <v>//PR:Clothing_____SP:Alice20171010  $1069 </v>
      </c>
      <c r="G383" s="14" t="str">
        <f aca="false">SUBSTITUTE(F383,"/","")</f>
        <v>PR:Clothing_____SP:Alice20171010  $1069 </v>
      </c>
      <c r="H383" s="14" t="str">
        <f aca="false">SUBSTITUTE(G383,"_"," ")</f>
        <v>PR:Clothing     SP:Alice20171010  $1069 </v>
      </c>
      <c r="I383" s="14" t="str">
        <f aca="false">TRIM(H383)</f>
        <v>PR:Clothing SP:Alice20171010 $1069</v>
      </c>
      <c r="J383" s="21" t="n">
        <f aca="false">LEN(I383)</f>
        <v>34</v>
      </c>
      <c r="K383" s="21" t="n">
        <f aca="false">CODE(RIGHT(I383,1))</f>
        <v>57</v>
      </c>
      <c r="L383" s="14" t="str">
        <f aca="false">SUBSTITUTE(I383,"PR:","")</f>
        <v>Clothing SP:Alice20171010 $1069</v>
      </c>
      <c r="M383" s="14" t="str">
        <f aca="false">SUBSTITUTE(L383,"SP:","")</f>
        <v>Clothing Alice20171010 $1069</v>
      </c>
      <c r="N383" s="15" t="str">
        <f aca="false">SUBSTITUTE(M383,"201710"," 201710")</f>
        <v>Clothing Alice 20171010 $1069</v>
      </c>
      <c r="O383" s="21" t="n">
        <f aca="false">FIND(" ",N383)</f>
        <v>9</v>
      </c>
      <c r="P383" s="21" t="n">
        <f aca="false">FIND(" ",N383,O383+1)</f>
        <v>15</v>
      </c>
      <c r="Q383" s="21" t="n">
        <f aca="false">FIND(" ",N383,P383+1)</f>
        <v>24</v>
      </c>
      <c r="R383" s="26" t="str">
        <f aca="false">LEFT(N383,O383-1)</f>
        <v>Clothing</v>
      </c>
      <c r="S383" s="26" t="str">
        <f aca="false">MID(N383,O383+1,P383-O383-1)</f>
        <v>Alice</v>
      </c>
      <c r="T383" s="26" t="str">
        <f aca="false">MID(N383,P383+1,Q383-P383-1)</f>
        <v>20171010</v>
      </c>
      <c r="U383" s="26" t="n">
        <f aca="false">VALUE(MID(N383,Q383+2,90))</f>
        <v>1069</v>
      </c>
      <c r="V383" s="27" t="n">
        <f aca="false">DATE(2017,10,MID(T383,7,2))</f>
        <v>43018</v>
      </c>
    </row>
    <row r="384" customFormat="false" ht="14.25" hidden="false" customHeight="false" outlineLevel="0" collapsed="false">
      <c r="A384" s="23" t="n">
        <f aca="false">A383+1</f>
        <v>380</v>
      </c>
      <c r="B384" s="14" t="s">
        <v>398</v>
      </c>
      <c r="C384" s="21" t="n">
        <f aca="false">CODE(RIGHT(B384,1))</f>
        <v>29</v>
      </c>
      <c r="D384" s="14" t="str">
        <f aca="false">CLEAN(B384)</f>
        <v>/////PR:Games_____SP:Barney2017101    $1477  </v>
      </c>
      <c r="E384" s="21" t="n">
        <f aca="false">CODE(RIGHT(D384,1))</f>
        <v>32</v>
      </c>
      <c r="F384" s="14" t="str">
        <f aca="false">SUBSTITUTE(D384,_xlfn.UNICHAR(160)," ")</f>
        <v>/////PR:Games_____SP:Barney2017101    $1477  </v>
      </c>
      <c r="G384" s="14" t="str">
        <f aca="false">SUBSTITUTE(F384,"/","")</f>
        <v>PR:Games_____SP:Barney2017101    $1477  </v>
      </c>
      <c r="H384" s="14" t="str">
        <f aca="false">SUBSTITUTE(G384,"_"," ")</f>
        <v>PR:Games     SP:Barney2017101    $1477  </v>
      </c>
      <c r="I384" s="14" t="str">
        <f aca="false">TRIM(H384)</f>
        <v>PR:Games SP:Barney2017101 $1477</v>
      </c>
      <c r="J384" s="21" t="n">
        <f aca="false">LEN(I384)</f>
        <v>31</v>
      </c>
      <c r="K384" s="21" t="n">
        <f aca="false">CODE(RIGHT(I384,1))</f>
        <v>55</v>
      </c>
      <c r="L384" s="14" t="str">
        <f aca="false">SUBSTITUTE(I384,"PR:","")</f>
        <v>Games SP:Barney2017101 $1477</v>
      </c>
      <c r="M384" s="14" t="str">
        <f aca="false">SUBSTITUTE(L384,"SP:","")</f>
        <v>Games Barney2017101 $1477</v>
      </c>
      <c r="N384" s="15" t="str">
        <f aca="false">SUBSTITUTE(M384,"201710"," 201710")</f>
        <v>Games Barney 2017101 $1477</v>
      </c>
      <c r="O384" s="21" t="n">
        <f aca="false">FIND(" ",N384)</f>
        <v>6</v>
      </c>
      <c r="P384" s="21" t="n">
        <f aca="false">FIND(" ",N384,O384+1)</f>
        <v>13</v>
      </c>
      <c r="Q384" s="21" t="n">
        <f aca="false">FIND(" ",N384,P384+1)</f>
        <v>21</v>
      </c>
      <c r="R384" s="26" t="str">
        <f aca="false">LEFT(N384,O384-1)</f>
        <v>Games</v>
      </c>
      <c r="S384" s="26" t="str">
        <f aca="false">MID(N384,O384+1,P384-O384-1)</f>
        <v>Barney</v>
      </c>
      <c r="T384" s="26" t="str">
        <f aca="false">MID(N384,P384+1,Q384-P384-1)</f>
        <v>2017101</v>
      </c>
      <c r="U384" s="26" t="n">
        <f aca="false">VALUE(MID(N384,Q384+2,90))</f>
        <v>1477</v>
      </c>
      <c r="V384" s="27" t="n">
        <f aca="false">DATE(2017,10,MID(T384,7,2))</f>
        <v>43009</v>
      </c>
    </row>
    <row r="385" customFormat="false" ht="14.25" hidden="false" customHeight="false" outlineLevel="0" collapsed="false">
      <c r="A385" s="23" t="n">
        <f aca="false">A384+1</f>
        <v>381</v>
      </c>
      <c r="B385" s="14" t="s">
        <v>399</v>
      </c>
      <c r="C385" s="21" t="n">
        <f aca="false">CODE(RIGHT(B385,1))</f>
        <v>30</v>
      </c>
      <c r="D385" s="14" t="str">
        <f aca="false">CLEAN(B385)</f>
        <v>////PR:Books___SP:Barney20171018 $669  </v>
      </c>
      <c r="E385" s="21" t="n">
        <f aca="false">CODE(RIGHT(D385,1))</f>
        <v>32</v>
      </c>
      <c r="F385" s="14" t="str">
        <f aca="false">SUBSTITUTE(D385,_xlfn.UNICHAR(160)," ")</f>
        <v>////PR:Books___SP:Barney20171018 $669  </v>
      </c>
      <c r="G385" s="14" t="str">
        <f aca="false">SUBSTITUTE(F385,"/","")</f>
        <v>PR:Books___SP:Barney20171018 $669  </v>
      </c>
      <c r="H385" s="14" t="str">
        <f aca="false">SUBSTITUTE(G385,"_"," ")</f>
        <v>PR:Books   SP:Barney20171018 $669  </v>
      </c>
      <c r="I385" s="14" t="str">
        <f aca="false">TRIM(H385)</f>
        <v>PR:Books SP:Barney20171018 $669</v>
      </c>
      <c r="J385" s="21" t="n">
        <f aca="false">LEN(I385)</f>
        <v>31</v>
      </c>
      <c r="K385" s="21" t="n">
        <f aca="false">CODE(RIGHT(I385,1))</f>
        <v>57</v>
      </c>
      <c r="L385" s="14" t="str">
        <f aca="false">SUBSTITUTE(I385,"PR:","")</f>
        <v>Books SP:Barney20171018 $669</v>
      </c>
      <c r="M385" s="14" t="str">
        <f aca="false">SUBSTITUTE(L385,"SP:","")</f>
        <v>Books Barney20171018 $669</v>
      </c>
      <c r="N385" s="15" t="str">
        <f aca="false">SUBSTITUTE(M385,"201710"," 201710")</f>
        <v>Books Barney 20171018 $669</v>
      </c>
      <c r="O385" s="21" t="n">
        <f aca="false">FIND(" ",N385)</f>
        <v>6</v>
      </c>
      <c r="P385" s="21" t="n">
        <f aca="false">FIND(" ",N385,O385+1)</f>
        <v>13</v>
      </c>
      <c r="Q385" s="21" t="n">
        <f aca="false">FIND(" ",N385,P385+1)</f>
        <v>22</v>
      </c>
      <c r="R385" s="26" t="str">
        <f aca="false">LEFT(N385,O385-1)</f>
        <v>Books</v>
      </c>
      <c r="S385" s="26" t="str">
        <f aca="false">MID(N385,O385+1,P385-O385-1)</f>
        <v>Barney</v>
      </c>
      <c r="T385" s="26" t="str">
        <f aca="false">MID(N385,P385+1,Q385-P385-1)</f>
        <v>20171018</v>
      </c>
      <c r="U385" s="26" t="n">
        <f aca="false">VALUE(MID(N385,Q385+2,90))</f>
        <v>669</v>
      </c>
      <c r="V385" s="27" t="n">
        <f aca="false">DATE(2017,10,MID(T385,7,2))</f>
        <v>43026</v>
      </c>
    </row>
    <row r="386" customFormat="false" ht="14.25" hidden="false" customHeight="false" outlineLevel="0" collapsed="false">
      <c r="A386" s="23" t="n">
        <f aca="false">A385+1</f>
        <v>382</v>
      </c>
      <c r="B386" s="14" t="s">
        <v>400</v>
      </c>
      <c r="C386" s="21" t="n">
        <f aca="false">CODE(RIGHT(B386,1))</f>
        <v>29</v>
      </c>
      <c r="D386" s="14" t="str">
        <f aca="false">CLEAN(B386)</f>
        <v>///PR:Games_SP:Carol20171023  $2447    </v>
      </c>
      <c r="E386" s="21" t="n">
        <f aca="false">CODE(RIGHT(D386,1))</f>
        <v>32</v>
      </c>
      <c r="F386" s="14" t="str">
        <f aca="false">SUBSTITUTE(D386,_xlfn.UNICHAR(160)," ")</f>
        <v>///PR:Games_SP:Carol20171023  $2447    </v>
      </c>
      <c r="G386" s="14" t="str">
        <f aca="false">SUBSTITUTE(F386,"/","")</f>
        <v>PR:Games_SP:Carol20171023  $2447    </v>
      </c>
      <c r="H386" s="14" t="str">
        <f aca="false">SUBSTITUTE(G386,"_"," ")</f>
        <v>PR:Games SP:Carol20171023  $2447    </v>
      </c>
      <c r="I386" s="14" t="str">
        <f aca="false">TRIM(H386)</f>
        <v>PR:Games SP:Carol20171023 $2447</v>
      </c>
      <c r="J386" s="21" t="n">
        <f aca="false">LEN(I386)</f>
        <v>31</v>
      </c>
      <c r="K386" s="21" t="n">
        <f aca="false">CODE(RIGHT(I386,1))</f>
        <v>55</v>
      </c>
      <c r="L386" s="14" t="str">
        <f aca="false">SUBSTITUTE(I386,"PR:","")</f>
        <v>Games SP:Carol20171023 $2447</v>
      </c>
      <c r="M386" s="14" t="str">
        <f aca="false">SUBSTITUTE(L386,"SP:","")</f>
        <v>Games Carol20171023 $2447</v>
      </c>
      <c r="N386" s="15" t="str">
        <f aca="false">SUBSTITUTE(M386,"201710"," 201710")</f>
        <v>Games Carol 20171023 $2447</v>
      </c>
      <c r="O386" s="21" t="n">
        <f aca="false">FIND(" ",N386)</f>
        <v>6</v>
      </c>
      <c r="P386" s="21" t="n">
        <f aca="false">FIND(" ",N386,O386+1)</f>
        <v>12</v>
      </c>
      <c r="Q386" s="21" t="n">
        <f aca="false">FIND(" ",N386,P386+1)</f>
        <v>21</v>
      </c>
      <c r="R386" s="26" t="str">
        <f aca="false">LEFT(N386,O386-1)</f>
        <v>Games</v>
      </c>
      <c r="S386" s="26" t="str">
        <f aca="false">MID(N386,O386+1,P386-O386-1)</f>
        <v>Carol</v>
      </c>
      <c r="T386" s="26" t="str">
        <f aca="false">MID(N386,P386+1,Q386-P386-1)</f>
        <v>20171023</v>
      </c>
      <c r="U386" s="26" t="n">
        <f aca="false">VALUE(MID(N386,Q386+2,90))</f>
        <v>2447</v>
      </c>
      <c r="V386" s="27" t="n">
        <f aca="false">DATE(2017,10,MID(T386,7,2))</f>
        <v>43031</v>
      </c>
    </row>
    <row r="387" customFormat="false" ht="14.25" hidden="false" customHeight="false" outlineLevel="0" collapsed="false">
      <c r="A387" s="23" t="n">
        <f aca="false">A386+1</f>
        <v>383</v>
      </c>
      <c r="B387" s="14" t="s">
        <v>401</v>
      </c>
      <c r="C387" s="21" t="n">
        <f aca="false">CODE(RIGHT(B387,1))</f>
        <v>31</v>
      </c>
      <c r="D387" s="14" t="str">
        <f aca="false">CLEAN(B387)</f>
        <v>/PR:Books___SP:David20171014  $0     </v>
      </c>
      <c r="E387" s="21" t="n">
        <f aca="false">CODE(RIGHT(D387,1))</f>
        <v>32</v>
      </c>
      <c r="F387" s="14" t="str">
        <f aca="false">SUBSTITUTE(D387,_xlfn.UNICHAR(160)," ")</f>
        <v>/PR:Books___SP:David20171014  $0     </v>
      </c>
      <c r="G387" s="14" t="str">
        <f aca="false">SUBSTITUTE(F387,"/","")</f>
        <v>PR:Books___SP:David20171014  $0     </v>
      </c>
      <c r="H387" s="14" t="str">
        <f aca="false">SUBSTITUTE(G387,"_"," ")</f>
        <v>PR:Books   SP:David20171014  $0     </v>
      </c>
      <c r="I387" s="14" t="str">
        <f aca="false">TRIM(H387)</f>
        <v>PR:Books SP:David20171014 $0</v>
      </c>
      <c r="J387" s="21" t="n">
        <f aca="false">LEN(I387)</f>
        <v>28</v>
      </c>
      <c r="K387" s="21" t="n">
        <f aca="false">CODE(RIGHT(I387,1))</f>
        <v>48</v>
      </c>
      <c r="L387" s="14" t="str">
        <f aca="false">SUBSTITUTE(I387,"PR:","")</f>
        <v>Books SP:David20171014 $0</v>
      </c>
      <c r="M387" s="14" t="str">
        <f aca="false">SUBSTITUTE(L387,"SP:","")</f>
        <v>Books David20171014 $0</v>
      </c>
      <c r="N387" s="15" t="str">
        <f aca="false">SUBSTITUTE(M387,"201710"," 201710")</f>
        <v>Books David 20171014 $0</v>
      </c>
      <c r="O387" s="21" t="n">
        <f aca="false">FIND(" ",N387)</f>
        <v>6</v>
      </c>
      <c r="P387" s="21" t="n">
        <f aca="false">FIND(" ",N387,O387+1)</f>
        <v>12</v>
      </c>
      <c r="Q387" s="21" t="n">
        <f aca="false">FIND(" ",N387,P387+1)</f>
        <v>21</v>
      </c>
      <c r="R387" s="26" t="str">
        <f aca="false">LEFT(N387,O387-1)</f>
        <v>Books</v>
      </c>
      <c r="S387" s="26" t="str">
        <f aca="false">MID(N387,O387+1,P387-O387-1)</f>
        <v>David</v>
      </c>
      <c r="T387" s="26" t="str">
        <f aca="false">MID(N387,P387+1,Q387-P387-1)</f>
        <v>20171014</v>
      </c>
      <c r="U387" s="26" t="n">
        <f aca="false">VALUE(MID(N387,Q387+2,90))</f>
        <v>0</v>
      </c>
      <c r="V387" s="27" t="n">
        <f aca="false">DATE(2017,10,MID(T387,7,2))</f>
        <v>43022</v>
      </c>
    </row>
    <row r="388" customFormat="false" ht="14.25" hidden="false" customHeight="false" outlineLevel="0" collapsed="false">
      <c r="A388" s="23" t="n">
        <f aca="false">A387+1</f>
        <v>384</v>
      </c>
      <c r="B388" s="14" t="s">
        <v>402</v>
      </c>
      <c r="C388" s="21" t="n">
        <f aca="false">CODE(RIGHT(B388,1))</f>
        <v>30</v>
      </c>
      <c r="D388" s="14" t="str">
        <f aca="false">CLEAN(B388)</f>
        <v>///PR:Games_SP:Barney20171023    $2144     </v>
      </c>
      <c r="E388" s="21" t="n">
        <f aca="false">CODE(RIGHT(D388,1))</f>
        <v>32</v>
      </c>
      <c r="F388" s="14" t="str">
        <f aca="false">SUBSTITUTE(D388,_xlfn.UNICHAR(160)," ")</f>
        <v>///PR:Games_SP:Barney20171023    $2144     </v>
      </c>
      <c r="G388" s="14" t="str">
        <f aca="false">SUBSTITUTE(F388,"/","")</f>
        <v>PR:Games_SP:Barney20171023    $2144     </v>
      </c>
      <c r="H388" s="14" t="str">
        <f aca="false">SUBSTITUTE(G388,"_"," ")</f>
        <v>PR:Games SP:Barney20171023    $2144     </v>
      </c>
      <c r="I388" s="14" t="str">
        <f aca="false">TRIM(H388)</f>
        <v>PR:Games SP:Barney20171023 $2144</v>
      </c>
      <c r="J388" s="21" t="n">
        <f aca="false">LEN(I388)</f>
        <v>32</v>
      </c>
      <c r="K388" s="21" t="n">
        <f aca="false">CODE(RIGHT(I388,1))</f>
        <v>52</v>
      </c>
      <c r="L388" s="14" t="str">
        <f aca="false">SUBSTITUTE(I388,"PR:","")</f>
        <v>Games SP:Barney20171023 $2144</v>
      </c>
      <c r="M388" s="14" t="str">
        <f aca="false">SUBSTITUTE(L388,"SP:","")</f>
        <v>Games Barney20171023 $2144</v>
      </c>
      <c r="N388" s="15" t="str">
        <f aca="false">SUBSTITUTE(M388,"201710"," 201710")</f>
        <v>Games Barney 20171023 $2144</v>
      </c>
      <c r="O388" s="21" t="n">
        <f aca="false">FIND(" ",N388)</f>
        <v>6</v>
      </c>
      <c r="P388" s="21" t="n">
        <f aca="false">FIND(" ",N388,O388+1)</f>
        <v>13</v>
      </c>
      <c r="Q388" s="21" t="n">
        <f aca="false">FIND(" ",N388,P388+1)</f>
        <v>22</v>
      </c>
      <c r="R388" s="26" t="str">
        <f aca="false">LEFT(N388,O388-1)</f>
        <v>Games</v>
      </c>
      <c r="S388" s="26" t="str">
        <f aca="false">MID(N388,O388+1,P388-O388-1)</f>
        <v>Barney</v>
      </c>
      <c r="T388" s="26" t="str">
        <f aca="false">MID(N388,P388+1,Q388-P388-1)</f>
        <v>20171023</v>
      </c>
      <c r="U388" s="26" t="n">
        <f aca="false">VALUE(MID(N388,Q388+2,90))</f>
        <v>2144</v>
      </c>
      <c r="V388" s="27" t="n">
        <f aca="false">DATE(2017,10,MID(T388,7,2))</f>
        <v>43031</v>
      </c>
    </row>
    <row r="389" customFormat="false" ht="14.25" hidden="false" customHeight="false" outlineLevel="0" collapsed="false">
      <c r="A389" s="23" t="n">
        <f aca="false">A388+1</f>
        <v>385</v>
      </c>
      <c r="B389" s="14" t="s">
        <v>403</v>
      </c>
      <c r="C389" s="21" t="n">
        <f aca="false">CODE(RIGHT(B389,1))</f>
        <v>29</v>
      </c>
      <c r="D389" s="14" t="str">
        <f aca="false">CLEAN(B389)</f>
        <v>///PR:Books____SP:Alice20171022     $699  </v>
      </c>
      <c r="E389" s="21" t="n">
        <f aca="false">CODE(RIGHT(D389,1))</f>
        <v>32</v>
      </c>
      <c r="F389" s="14" t="str">
        <f aca="false">SUBSTITUTE(D389,_xlfn.UNICHAR(160)," ")</f>
        <v>///PR:Books____SP:Alice20171022     $699  </v>
      </c>
      <c r="G389" s="14" t="str">
        <f aca="false">SUBSTITUTE(F389,"/","")</f>
        <v>PR:Books____SP:Alice20171022     $699  </v>
      </c>
      <c r="H389" s="14" t="str">
        <f aca="false">SUBSTITUTE(G389,"_"," ")</f>
        <v>PR:Books    SP:Alice20171022     $699  </v>
      </c>
      <c r="I389" s="14" t="str">
        <f aca="false">TRIM(H389)</f>
        <v>PR:Books SP:Alice20171022 $699</v>
      </c>
      <c r="J389" s="21" t="n">
        <f aca="false">LEN(I389)</f>
        <v>30</v>
      </c>
      <c r="K389" s="21" t="n">
        <f aca="false">CODE(RIGHT(I389,1))</f>
        <v>57</v>
      </c>
      <c r="L389" s="14" t="str">
        <f aca="false">SUBSTITUTE(I389,"PR:","")</f>
        <v>Books SP:Alice20171022 $699</v>
      </c>
      <c r="M389" s="14" t="str">
        <f aca="false">SUBSTITUTE(L389,"SP:","")</f>
        <v>Books Alice20171022 $699</v>
      </c>
      <c r="N389" s="15" t="str">
        <f aca="false">SUBSTITUTE(M389,"201710"," 201710")</f>
        <v>Books Alice 20171022 $699</v>
      </c>
      <c r="O389" s="21" t="n">
        <f aca="false">FIND(" ",N389)</f>
        <v>6</v>
      </c>
      <c r="P389" s="21" t="n">
        <f aca="false">FIND(" ",N389,O389+1)</f>
        <v>12</v>
      </c>
      <c r="Q389" s="21" t="n">
        <f aca="false">FIND(" ",N389,P389+1)</f>
        <v>21</v>
      </c>
      <c r="R389" s="26" t="str">
        <f aca="false">LEFT(N389,O389-1)</f>
        <v>Books</v>
      </c>
      <c r="S389" s="26" t="str">
        <f aca="false">MID(N389,O389+1,P389-O389-1)</f>
        <v>Alice</v>
      </c>
      <c r="T389" s="26" t="str">
        <f aca="false">MID(N389,P389+1,Q389-P389-1)</f>
        <v>20171022</v>
      </c>
      <c r="U389" s="26" t="n">
        <f aca="false">VALUE(MID(N389,Q389+2,90))</f>
        <v>699</v>
      </c>
      <c r="V389" s="27" t="n">
        <f aca="false">DATE(2017,10,MID(T389,7,2))</f>
        <v>43030</v>
      </c>
    </row>
    <row r="390" customFormat="false" ht="14.25" hidden="false" customHeight="false" outlineLevel="0" collapsed="false">
      <c r="A390" s="23" t="n">
        <f aca="false">A389+1</f>
        <v>386</v>
      </c>
      <c r="B390" s="14" t="s">
        <v>404</v>
      </c>
      <c r="C390" s="21" t="n">
        <f aca="false">CODE(RIGHT(B390,1))</f>
        <v>29</v>
      </c>
      <c r="D390" s="14" t="str">
        <f aca="false">CLEAN(B390)</f>
        <v>///PR:Music_SP:David20171017     $0 </v>
      </c>
      <c r="E390" s="21" t="n">
        <f aca="false">CODE(RIGHT(D390,1))</f>
        <v>32</v>
      </c>
      <c r="F390" s="14" t="str">
        <f aca="false">SUBSTITUTE(D390,_xlfn.UNICHAR(160)," ")</f>
        <v>///PR:Music_SP:David20171017     $0 </v>
      </c>
      <c r="G390" s="14" t="str">
        <f aca="false">SUBSTITUTE(F390,"/","")</f>
        <v>PR:Music_SP:David20171017     $0 </v>
      </c>
      <c r="H390" s="14" t="str">
        <f aca="false">SUBSTITUTE(G390,"_"," ")</f>
        <v>PR:Music SP:David20171017     $0 </v>
      </c>
      <c r="I390" s="14" t="str">
        <f aca="false">TRIM(H390)</f>
        <v>PR:Music SP:David20171017 $0</v>
      </c>
      <c r="J390" s="21" t="n">
        <f aca="false">LEN(I390)</f>
        <v>28</v>
      </c>
      <c r="K390" s="21" t="n">
        <f aca="false">CODE(RIGHT(I390,1))</f>
        <v>48</v>
      </c>
      <c r="L390" s="14" t="str">
        <f aca="false">SUBSTITUTE(I390,"PR:","")</f>
        <v>Music SP:David20171017 $0</v>
      </c>
      <c r="M390" s="14" t="str">
        <f aca="false">SUBSTITUTE(L390,"SP:","")</f>
        <v>Music David20171017 $0</v>
      </c>
      <c r="N390" s="15" t="str">
        <f aca="false">SUBSTITUTE(M390,"201710"," 201710")</f>
        <v>Music David 20171017 $0</v>
      </c>
      <c r="O390" s="21" t="n">
        <f aca="false">FIND(" ",N390)</f>
        <v>6</v>
      </c>
      <c r="P390" s="21" t="n">
        <f aca="false">FIND(" ",N390,O390+1)</f>
        <v>12</v>
      </c>
      <c r="Q390" s="21" t="n">
        <f aca="false">FIND(" ",N390,P390+1)</f>
        <v>21</v>
      </c>
      <c r="R390" s="26" t="str">
        <f aca="false">LEFT(N390,O390-1)</f>
        <v>Music</v>
      </c>
      <c r="S390" s="26" t="str">
        <f aca="false">MID(N390,O390+1,P390-O390-1)</f>
        <v>David</v>
      </c>
      <c r="T390" s="26" t="str">
        <f aca="false">MID(N390,P390+1,Q390-P390-1)</f>
        <v>20171017</v>
      </c>
      <c r="U390" s="26" t="n">
        <f aca="false">VALUE(MID(N390,Q390+2,90))</f>
        <v>0</v>
      </c>
      <c r="V390" s="27" t="n">
        <f aca="false">DATE(2017,10,MID(T390,7,2))</f>
        <v>43025</v>
      </c>
    </row>
    <row r="391" customFormat="false" ht="14.25" hidden="false" customHeight="false" outlineLevel="0" collapsed="false">
      <c r="A391" s="23" t="n">
        <f aca="false">A390+1</f>
        <v>387</v>
      </c>
      <c r="B391" s="14" t="s">
        <v>405</v>
      </c>
      <c r="C391" s="21" t="n">
        <f aca="false">CODE(RIGHT(B391,1))</f>
        <v>29</v>
      </c>
      <c r="D391" s="14" t="str">
        <f aca="false">CLEAN(B391)</f>
        <v>///PR:Music____SP:Barney20171013   $0   </v>
      </c>
      <c r="E391" s="21" t="n">
        <f aca="false">CODE(RIGHT(D391,1))</f>
        <v>32</v>
      </c>
      <c r="F391" s="14" t="str">
        <f aca="false">SUBSTITUTE(D391,_xlfn.UNICHAR(160)," ")</f>
        <v>///PR:Music____SP:Barney20171013   $0   </v>
      </c>
      <c r="G391" s="14" t="str">
        <f aca="false">SUBSTITUTE(F391,"/","")</f>
        <v>PR:Music____SP:Barney20171013   $0   </v>
      </c>
      <c r="H391" s="14" t="str">
        <f aca="false">SUBSTITUTE(G391,"_"," ")</f>
        <v>PR:Music    SP:Barney20171013   $0   </v>
      </c>
      <c r="I391" s="14" t="str">
        <f aca="false">TRIM(H391)</f>
        <v>PR:Music SP:Barney20171013 $0</v>
      </c>
      <c r="J391" s="21" t="n">
        <f aca="false">LEN(I391)</f>
        <v>29</v>
      </c>
      <c r="K391" s="21" t="n">
        <f aca="false">CODE(RIGHT(I391,1))</f>
        <v>48</v>
      </c>
      <c r="L391" s="14" t="str">
        <f aca="false">SUBSTITUTE(I391,"PR:","")</f>
        <v>Music SP:Barney20171013 $0</v>
      </c>
      <c r="M391" s="14" t="str">
        <f aca="false">SUBSTITUTE(L391,"SP:","")</f>
        <v>Music Barney20171013 $0</v>
      </c>
      <c r="N391" s="15" t="str">
        <f aca="false">SUBSTITUTE(M391,"201710"," 201710")</f>
        <v>Music Barney 20171013 $0</v>
      </c>
      <c r="O391" s="21" t="n">
        <f aca="false">FIND(" ",N391)</f>
        <v>6</v>
      </c>
      <c r="P391" s="21" t="n">
        <f aca="false">FIND(" ",N391,O391+1)</f>
        <v>13</v>
      </c>
      <c r="Q391" s="21" t="n">
        <f aca="false">FIND(" ",N391,P391+1)</f>
        <v>22</v>
      </c>
      <c r="R391" s="26" t="str">
        <f aca="false">LEFT(N391,O391-1)</f>
        <v>Music</v>
      </c>
      <c r="S391" s="26" t="str">
        <f aca="false">MID(N391,O391+1,P391-O391-1)</f>
        <v>Barney</v>
      </c>
      <c r="T391" s="26" t="str">
        <f aca="false">MID(N391,P391+1,Q391-P391-1)</f>
        <v>20171013</v>
      </c>
      <c r="U391" s="26" t="n">
        <f aca="false">VALUE(MID(N391,Q391+2,90))</f>
        <v>0</v>
      </c>
      <c r="V391" s="27" t="n">
        <f aca="false">DATE(2017,10,MID(T391,7,2))</f>
        <v>43021</v>
      </c>
    </row>
    <row r="392" customFormat="false" ht="14.25" hidden="false" customHeight="false" outlineLevel="0" collapsed="false">
      <c r="A392" s="23" t="n">
        <f aca="false">A391+1</f>
        <v>388</v>
      </c>
      <c r="B392" s="14" t="s">
        <v>406</v>
      </c>
      <c r="C392" s="21" t="n">
        <f aca="false">CODE(RIGHT(B392,1))</f>
        <v>28</v>
      </c>
      <c r="D392" s="14" t="str">
        <f aca="false">CLEAN(B392)</f>
        <v>/PR:Books_____SP:Carol20171017     $825     </v>
      </c>
      <c r="E392" s="21" t="n">
        <f aca="false">CODE(RIGHT(D392,1))</f>
        <v>32</v>
      </c>
      <c r="F392" s="14" t="str">
        <f aca="false">SUBSTITUTE(D392,_xlfn.UNICHAR(160)," ")</f>
        <v>/PR:Books_____SP:Carol20171017     $825     </v>
      </c>
      <c r="G392" s="14" t="str">
        <f aca="false">SUBSTITUTE(F392,"/","")</f>
        <v>PR:Books_____SP:Carol20171017     $825     </v>
      </c>
      <c r="H392" s="14" t="str">
        <f aca="false">SUBSTITUTE(G392,"_"," ")</f>
        <v>PR:Books     SP:Carol20171017     $825     </v>
      </c>
      <c r="I392" s="14" t="str">
        <f aca="false">TRIM(H392)</f>
        <v>PR:Books SP:Carol20171017 $825</v>
      </c>
      <c r="J392" s="21" t="n">
        <f aca="false">LEN(I392)</f>
        <v>30</v>
      </c>
      <c r="K392" s="21" t="n">
        <f aca="false">CODE(RIGHT(I392,1))</f>
        <v>53</v>
      </c>
      <c r="L392" s="14" t="str">
        <f aca="false">SUBSTITUTE(I392,"PR:","")</f>
        <v>Books SP:Carol20171017 $825</v>
      </c>
      <c r="M392" s="14" t="str">
        <f aca="false">SUBSTITUTE(L392,"SP:","")</f>
        <v>Books Carol20171017 $825</v>
      </c>
      <c r="N392" s="15" t="str">
        <f aca="false">SUBSTITUTE(M392,"201710"," 201710")</f>
        <v>Books Carol 20171017 $825</v>
      </c>
      <c r="O392" s="21" t="n">
        <f aca="false">FIND(" ",N392)</f>
        <v>6</v>
      </c>
      <c r="P392" s="21" t="n">
        <f aca="false">FIND(" ",N392,O392+1)</f>
        <v>12</v>
      </c>
      <c r="Q392" s="21" t="n">
        <f aca="false">FIND(" ",N392,P392+1)</f>
        <v>21</v>
      </c>
      <c r="R392" s="26" t="str">
        <f aca="false">LEFT(N392,O392-1)</f>
        <v>Books</v>
      </c>
      <c r="S392" s="26" t="str">
        <f aca="false">MID(N392,O392+1,P392-O392-1)</f>
        <v>Carol</v>
      </c>
      <c r="T392" s="26" t="str">
        <f aca="false">MID(N392,P392+1,Q392-P392-1)</f>
        <v>20171017</v>
      </c>
      <c r="U392" s="26" t="n">
        <f aca="false">VALUE(MID(N392,Q392+2,90))</f>
        <v>825</v>
      </c>
      <c r="V392" s="27" t="n">
        <f aca="false">DATE(2017,10,MID(T392,7,2))</f>
        <v>43025</v>
      </c>
    </row>
    <row r="393" customFormat="false" ht="14.25" hidden="false" customHeight="false" outlineLevel="0" collapsed="false">
      <c r="A393" s="23" t="n">
        <f aca="false">A392+1</f>
        <v>389</v>
      </c>
      <c r="B393" s="14" t="s">
        <v>407</v>
      </c>
      <c r="C393" s="21" t="n">
        <f aca="false">CODE(RIGHT(B393,1))</f>
        <v>28</v>
      </c>
      <c r="D393" s="14" t="str">
        <f aca="false">CLEAN(B393)</f>
        <v>////PR:Games__SP:Alice2017107     $0   </v>
      </c>
      <c r="E393" s="21" t="n">
        <f aca="false">CODE(RIGHT(D393,1))</f>
        <v>32</v>
      </c>
      <c r="F393" s="14" t="str">
        <f aca="false">SUBSTITUTE(D393,_xlfn.UNICHAR(160)," ")</f>
        <v>////PR:Games__SP:Alice2017107     $0   </v>
      </c>
      <c r="G393" s="14" t="str">
        <f aca="false">SUBSTITUTE(F393,"/","")</f>
        <v>PR:Games__SP:Alice2017107     $0   </v>
      </c>
      <c r="H393" s="14" t="str">
        <f aca="false">SUBSTITUTE(G393,"_"," ")</f>
        <v>PR:Games  SP:Alice2017107     $0   </v>
      </c>
      <c r="I393" s="14" t="str">
        <f aca="false">TRIM(H393)</f>
        <v>PR:Games SP:Alice2017107 $0</v>
      </c>
      <c r="J393" s="21" t="n">
        <f aca="false">LEN(I393)</f>
        <v>27</v>
      </c>
      <c r="K393" s="21" t="n">
        <f aca="false">CODE(RIGHT(I393,1))</f>
        <v>48</v>
      </c>
      <c r="L393" s="14" t="str">
        <f aca="false">SUBSTITUTE(I393,"PR:","")</f>
        <v>Games SP:Alice2017107 $0</v>
      </c>
      <c r="M393" s="14" t="str">
        <f aca="false">SUBSTITUTE(L393,"SP:","")</f>
        <v>Games Alice2017107 $0</v>
      </c>
      <c r="N393" s="15" t="str">
        <f aca="false">SUBSTITUTE(M393,"201710"," 201710")</f>
        <v>Games Alice 2017107 $0</v>
      </c>
      <c r="O393" s="21" t="n">
        <f aca="false">FIND(" ",N393)</f>
        <v>6</v>
      </c>
      <c r="P393" s="21" t="n">
        <f aca="false">FIND(" ",N393,O393+1)</f>
        <v>12</v>
      </c>
      <c r="Q393" s="21" t="n">
        <f aca="false">FIND(" ",N393,P393+1)</f>
        <v>20</v>
      </c>
      <c r="R393" s="26" t="str">
        <f aca="false">LEFT(N393,O393-1)</f>
        <v>Games</v>
      </c>
      <c r="S393" s="26" t="str">
        <f aca="false">MID(N393,O393+1,P393-O393-1)</f>
        <v>Alice</v>
      </c>
      <c r="T393" s="26" t="str">
        <f aca="false">MID(N393,P393+1,Q393-P393-1)</f>
        <v>2017107</v>
      </c>
      <c r="U393" s="26" t="n">
        <f aca="false">VALUE(MID(N393,Q393+2,90))</f>
        <v>0</v>
      </c>
      <c r="V393" s="27" t="n">
        <f aca="false">DATE(2017,10,MID(T393,7,2))</f>
        <v>43015</v>
      </c>
    </row>
    <row r="394" customFormat="false" ht="14.25" hidden="false" customHeight="false" outlineLevel="0" collapsed="false">
      <c r="A394" s="23" t="n">
        <f aca="false">A393+1</f>
        <v>390</v>
      </c>
      <c r="B394" s="14" t="s">
        <v>408</v>
      </c>
      <c r="C394" s="21" t="n">
        <f aca="false">CODE(RIGHT(B394,1))</f>
        <v>30</v>
      </c>
      <c r="D394" s="14" t="str">
        <f aca="false">CLEAN(B394)</f>
        <v>//PR:Games_____SP:David2017101    $1810     </v>
      </c>
      <c r="E394" s="21" t="n">
        <f aca="false">CODE(RIGHT(D394,1))</f>
        <v>32</v>
      </c>
      <c r="F394" s="14" t="str">
        <f aca="false">SUBSTITUTE(D394,_xlfn.UNICHAR(160)," ")</f>
        <v>//PR:Games_____SP:David2017101    $1810     </v>
      </c>
      <c r="G394" s="14" t="str">
        <f aca="false">SUBSTITUTE(F394,"/","")</f>
        <v>PR:Games_____SP:David2017101    $1810     </v>
      </c>
      <c r="H394" s="14" t="str">
        <f aca="false">SUBSTITUTE(G394,"_"," ")</f>
        <v>PR:Games     SP:David2017101    $1810     </v>
      </c>
      <c r="I394" s="14" t="str">
        <f aca="false">TRIM(H394)</f>
        <v>PR:Games SP:David2017101 $1810</v>
      </c>
      <c r="J394" s="21" t="n">
        <f aca="false">LEN(I394)</f>
        <v>30</v>
      </c>
      <c r="K394" s="21" t="n">
        <f aca="false">CODE(RIGHT(I394,1))</f>
        <v>48</v>
      </c>
      <c r="L394" s="14" t="str">
        <f aca="false">SUBSTITUTE(I394,"PR:","")</f>
        <v>Games SP:David2017101 $1810</v>
      </c>
      <c r="M394" s="14" t="str">
        <f aca="false">SUBSTITUTE(L394,"SP:","")</f>
        <v>Games David2017101 $1810</v>
      </c>
      <c r="N394" s="15" t="str">
        <f aca="false">SUBSTITUTE(M394,"201710"," 201710")</f>
        <v>Games David 2017101 $1810</v>
      </c>
      <c r="O394" s="21" t="n">
        <f aca="false">FIND(" ",N394)</f>
        <v>6</v>
      </c>
      <c r="P394" s="21" t="n">
        <f aca="false">FIND(" ",N394,O394+1)</f>
        <v>12</v>
      </c>
      <c r="Q394" s="21" t="n">
        <f aca="false">FIND(" ",N394,P394+1)</f>
        <v>20</v>
      </c>
      <c r="R394" s="26" t="str">
        <f aca="false">LEFT(N394,O394-1)</f>
        <v>Games</v>
      </c>
      <c r="S394" s="26" t="str">
        <f aca="false">MID(N394,O394+1,P394-O394-1)</f>
        <v>David</v>
      </c>
      <c r="T394" s="26" t="str">
        <f aca="false">MID(N394,P394+1,Q394-P394-1)</f>
        <v>2017101</v>
      </c>
      <c r="U394" s="26" t="n">
        <f aca="false">VALUE(MID(N394,Q394+2,90))</f>
        <v>1810</v>
      </c>
      <c r="V394" s="27" t="n">
        <f aca="false">DATE(2017,10,MID(T394,7,2))</f>
        <v>43009</v>
      </c>
    </row>
    <row r="395" customFormat="false" ht="14.25" hidden="false" customHeight="false" outlineLevel="0" collapsed="false">
      <c r="A395" s="23" t="n">
        <f aca="false">A394+1</f>
        <v>391</v>
      </c>
      <c r="B395" s="14" t="s">
        <v>409</v>
      </c>
      <c r="C395" s="21" t="n">
        <f aca="false">CODE(RIGHT(B395,1))</f>
        <v>30</v>
      </c>
      <c r="D395" s="14" t="str">
        <f aca="false">CLEAN(B395)</f>
        <v>/////PR:Books__SP:Carol20171026  $686   </v>
      </c>
      <c r="E395" s="21" t="n">
        <f aca="false">CODE(RIGHT(D395,1))</f>
        <v>32</v>
      </c>
      <c r="F395" s="14" t="str">
        <f aca="false">SUBSTITUTE(D395,_xlfn.UNICHAR(160)," ")</f>
        <v>/////PR:Books__SP:Carol20171026  $686   </v>
      </c>
      <c r="G395" s="14" t="str">
        <f aca="false">SUBSTITUTE(F395,"/","")</f>
        <v>PR:Books__SP:Carol20171026  $686   </v>
      </c>
      <c r="H395" s="14" t="str">
        <f aca="false">SUBSTITUTE(G395,"_"," ")</f>
        <v>PR:Books  SP:Carol20171026  $686   </v>
      </c>
      <c r="I395" s="14" t="str">
        <f aca="false">TRIM(H395)</f>
        <v>PR:Books SP:Carol20171026 $686</v>
      </c>
      <c r="J395" s="21" t="n">
        <f aca="false">LEN(I395)</f>
        <v>30</v>
      </c>
      <c r="K395" s="21" t="n">
        <f aca="false">CODE(RIGHT(I395,1))</f>
        <v>54</v>
      </c>
      <c r="L395" s="14" t="str">
        <f aca="false">SUBSTITUTE(I395,"PR:","")</f>
        <v>Books SP:Carol20171026 $686</v>
      </c>
      <c r="M395" s="14" t="str">
        <f aca="false">SUBSTITUTE(L395,"SP:","")</f>
        <v>Books Carol20171026 $686</v>
      </c>
      <c r="N395" s="15" t="str">
        <f aca="false">SUBSTITUTE(M395,"201710"," 201710")</f>
        <v>Books Carol 20171026 $686</v>
      </c>
      <c r="O395" s="21" t="n">
        <f aca="false">FIND(" ",N395)</f>
        <v>6</v>
      </c>
      <c r="P395" s="21" t="n">
        <f aca="false">FIND(" ",N395,O395+1)</f>
        <v>12</v>
      </c>
      <c r="Q395" s="21" t="n">
        <f aca="false">FIND(" ",N395,P395+1)</f>
        <v>21</v>
      </c>
      <c r="R395" s="26" t="str">
        <f aca="false">LEFT(N395,O395-1)</f>
        <v>Books</v>
      </c>
      <c r="S395" s="26" t="str">
        <f aca="false">MID(N395,O395+1,P395-O395-1)</f>
        <v>Carol</v>
      </c>
      <c r="T395" s="26" t="str">
        <f aca="false">MID(N395,P395+1,Q395-P395-1)</f>
        <v>20171026</v>
      </c>
      <c r="U395" s="26" t="n">
        <f aca="false">VALUE(MID(N395,Q395+2,90))</f>
        <v>686</v>
      </c>
      <c r="V395" s="27" t="n">
        <f aca="false">DATE(2017,10,MID(T395,7,2))</f>
        <v>43034</v>
      </c>
    </row>
    <row r="396" customFormat="false" ht="14.25" hidden="false" customHeight="false" outlineLevel="0" collapsed="false">
      <c r="A396" s="23" t="n">
        <f aca="false">A395+1</f>
        <v>392</v>
      </c>
      <c r="B396" s="14" t="s">
        <v>410</v>
      </c>
      <c r="C396" s="21" t="n">
        <f aca="false">CODE(RIGHT(B396,1))</f>
        <v>28</v>
      </c>
      <c r="D396" s="14" t="str">
        <f aca="false">CLEAN(B396)</f>
        <v>////PR:Music_____SP:Carol2017104  $1025  </v>
      </c>
      <c r="E396" s="21" t="n">
        <f aca="false">CODE(RIGHT(D396,1))</f>
        <v>32</v>
      </c>
      <c r="F396" s="14" t="str">
        <f aca="false">SUBSTITUTE(D396,_xlfn.UNICHAR(160)," ")</f>
        <v>////PR:Music_____SP:Carol2017104  $1025  </v>
      </c>
      <c r="G396" s="14" t="str">
        <f aca="false">SUBSTITUTE(F396,"/","")</f>
        <v>PR:Music_____SP:Carol2017104  $1025  </v>
      </c>
      <c r="H396" s="14" t="str">
        <f aca="false">SUBSTITUTE(G396,"_"," ")</f>
        <v>PR:Music     SP:Carol2017104  $1025  </v>
      </c>
      <c r="I396" s="14" t="str">
        <f aca="false">TRIM(H396)</f>
        <v>PR:Music SP:Carol2017104 $1025</v>
      </c>
      <c r="J396" s="21" t="n">
        <f aca="false">LEN(I396)</f>
        <v>30</v>
      </c>
      <c r="K396" s="21" t="n">
        <f aca="false">CODE(RIGHT(I396,1))</f>
        <v>53</v>
      </c>
      <c r="L396" s="14" t="str">
        <f aca="false">SUBSTITUTE(I396,"PR:","")</f>
        <v>Music SP:Carol2017104 $1025</v>
      </c>
      <c r="M396" s="14" t="str">
        <f aca="false">SUBSTITUTE(L396,"SP:","")</f>
        <v>Music Carol2017104 $1025</v>
      </c>
      <c r="N396" s="15" t="str">
        <f aca="false">SUBSTITUTE(M396,"201710"," 201710")</f>
        <v>Music Carol 2017104 $1025</v>
      </c>
      <c r="O396" s="21" t="n">
        <f aca="false">FIND(" ",N396)</f>
        <v>6</v>
      </c>
      <c r="P396" s="21" t="n">
        <f aca="false">FIND(" ",N396,O396+1)</f>
        <v>12</v>
      </c>
      <c r="Q396" s="21" t="n">
        <f aca="false">FIND(" ",N396,P396+1)</f>
        <v>20</v>
      </c>
      <c r="R396" s="26" t="str">
        <f aca="false">LEFT(N396,O396-1)</f>
        <v>Music</v>
      </c>
      <c r="S396" s="26" t="str">
        <f aca="false">MID(N396,O396+1,P396-O396-1)</f>
        <v>Carol</v>
      </c>
      <c r="T396" s="26" t="str">
        <f aca="false">MID(N396,P396+1,Q396-P396-1)</f>
        <v>2017104</v>
      </c>
      <c r="U396" s="26" t="n">
        <f aca="false">VALUE(MID(N396,Q396+2,90))</f>
        <v>1025</v>
      </c>
      <c r="V396" s="27" t="n">
        <f aca="false">DATE(2017,10,MID(T396,7,2))</f>
        <v>43012</v>
      </c>
    </row>
    <row r="397" customFormat="false" ht="14.25" hidden="false" customHeight="false" outlineLevel="0" collapsed="false">
      <c r="A397" s="23" t="n">
        <f aca="false">A396+1</f>
        <v>393</v>
      </c>
      <c r="B397" s="14" t="s">
        <v>411</v>
      </c>
      <c r="C397" s="21" t="n">
        <f aca="false">CODE(RIGHT(B397,1))</f>
        <v>29</v>
      </c>
      <c r="D397" s="14" t="str">
        <f aca="false">CLEAN(B397)</f>
        <v>///PR:Games_SP:Carol2017102    $827     </v>
      </c>
      <c r="E397" s="21" t="n">
        <f aca="false">CODE(RIGHT(D397,1))</f>
        <v>32</v>
      </c>
      <c r="F397" s="14" t="str">
        <f aca="false">SUBSTITUTE(D397,_xlfn.UNICHAR(160)," ")</f>
        <v>///PR:Games_SP:Carol2017102    $827     </v>
      </c>
      <c r="G397" s="14" t="str">
        <f aca="false">SUBSTITUTE(F397,"/","")</f>
        <v>PR:Games_SP:Carol2017102    $827     </v>
      </c>
      <c r="H397" s="14" t="str">
        <f aca="false">SUBSTITUTE(G397,"_"," ")</f>
        <v>PR:Games SP:Carol2017102    $827     </v>
      </c>
      <c r="I397" s="14" t="str">
        <f aca="false">TRIM(H397)</f>
        <v>PR:Games SP:Carol2017102 $827</v>
      </c>
      <c r="J397" s="21" t="n">
        <f aca="false">LEN(I397)</f>
        <v>29</v>
      </c>
      <c r="K397" s="21" t="n">
        <f aca="false">CODE(RIGHT(I397,1))</f>
        <v>55</v>
      </c>
      <c r="L397" s="14" t="str">
        <f aca="false">SUBSTITUTE(I397,"PR:","")</f>
        <v>Games SP:Carol2017102 $827</v>
      </c>
      <c r="M397" s="14" t="str">
        <f aca="false">SUBSTITUTE(L397,"SP:","")</f>
        <v>Games Carol2017102 $827</v>
      </c>
      <c r="N397" s="15" t="str">
        <f aca="false">SUBSTITUTE(M397,"201710"," 201710")</f>
        <v>Games Carol 2017102 $827</v>
      </c>
      <c r="O397" s="21" t="n">
        <f aca="false">FIND(" ",N397)</f>
        <v>6</v>
      </c>
      <c r="P397" s="21" t="n">
        <f aca="false">FIND(" ",N397,O397+1)</f>
        <v>12</v>
      </c>
      <c r="Q397" s="21" t="n">
        <f aca="false">FIND(" ",N397,P397+1)</f>
        <v>20</v>
      </c>
      <c r="R397" s="26" t="str">
        <f aca="false">LEFT(N397,O397-1)</f>
        <v>Games</v>
      </c>
      <c r="S397" s="26" t="str">
        <f aca="false">MID(N397,O397+1,P397-O397-1)</f>
        <v>Carol</v>
      </c>
      <c r="T397" s="26" t="str">
        <f aca="false">MID(N397,P397+1,Q397-P397-1)</f>
        <v>2017102</v>
      </c>
      <c r="U397" s="26" t="n">
        <f aca="false">VALUE(MID(N397,Q397+2,90))</f>
        <v>827</v>
      </c>
      <c r="V397" s="27" t="n">
        <f aca="false">DATE(2017,10,MID(T397,7,2))</f>
        <v>43010</v>
      </c>
    </row>
    <row r="398" customFormat="false" ht="14.25" hidden="false" customHeight="false" outlineLevel="0" collapsed="false">
      <c r="A398" s="23" t="n">
        <f aca="false">A397+1</f>
        <v>394</v>
      </c>
      <c r="B398" s="14" t="s">
        <v>412</v>
      </c>
      <c r="C398" s="21" t="n">
        <f aca="false">CODE(RIGHT(B398,1))</f>
        <v>28</v>
      </c>
      <c r="D398" s="14" t="str">
        <f aca="false">CLEAN(B398)</f>
        <v>/////PR:Books____SP:David20171018  $0  </v>
      </c>
      <c r="E398" s="21" t="n">
        <f aca="false">CODE(RIGHT(D398,1))</f>
        <v>32</v>
      </c>
      <c r="F398" s="14" t="str">
        <f aca="false">SUBSTITUTE(D398,_xlfn.UNICHAR(160)," ")</f>
        <v>/////PR:Books____SP:David20171018  $0  </v>
      </c>
      <c r="G398" s="14" t="str">
        <f aca="false">SUBSTITUTE(F398,"/","")</f>
        <v>PR:Books____SP:David20171018  $0  </v>
      </c>
      <c r="H398" s="14" t="str">
        <f aca="false">SUBSTITUTE(G398,"_"," ")</f>
        <v>PR:Books    SP:David20171018  $0  </v>
      </c>
      <c r="I398" s="14" t="str">
        <f aca="false">TRIM(H398)</f>
        <v>PR:Books SP:David20171018 $0</v>
      </c>
      <c r="J398" s="21" t="n">
        <f aca="false">LEN(I398)</f>
        <v>28</v>
      </c>
      <c r="K398" s="21" t="n">
        <f aca="false">CODE(RIGHT(I398,1))</f>
        <v>48</v>
      </c>
      <c r="L398" s="14" t="str">
        <f aca="false">SUBSTITUTE(I398,"PR:","")</f>
        <v>Books SP:David20171018 $0</v>
      </c>
      <c r="M398" s="14" t="str">
        <f aca="false">SUBSTITUTE(L398,"SP:","")</f>
        <v>Books David20171018 $0</v>
      </c>
      <c r="N398" s="15" t="str">
        <f aca="false">SUBSTITUTE(M398,"201710"," 201710")</f>
        <v>Books David 20171018 $0</v>
      </c>
      <c r="O398" s="21" t="n">
        <f aca="false">FIND(" ",N398)</f>
        <v>6</v>
      </c>
      <c r="P398" s="21" t="n">
        <f aca="false">FIND(" ",N398,O398+1)</f>
        <v>12</v>
      </c>
      <c r="Q398" s="21" t="n">
        <f aca="false">FIND(" ",N398,P398+1)</f>
        <v>21</v>
      </c>
      <c r="R398" s="26" t="str">
        <f aca="false">LEFT(N398,O398-1)</f>
        <v>Books</v>
      </c>
      <c r="S398" s="26" t="str">
        <f aca="false">MID(N398,O398+1,P398-O398-1)</f>
        <v>David</v>
      </c>
      <c r="T398" s="26" t="str">
        <f aca="false">MID(N398,P398+1,Q398-P398-1)</f>
        <v>20171018</v>
      </c>
      <c r="U398" s="26" t="n">
        <f aca="false">VALUE(MID(N398,Q398+2,90))</f>
        <v>0</v>
      </c>
      <c r="V398" s="27" t="n">
        <f aca="false">DATE(2017,10,MID(T398,7,2))</f>
        <v>43026</v>
      </c>
    </row>
    <row r="399" customFormat="false" ht="14.25" hidden="false" customHeight="false" outlineLevel="0" collapsed="false">
      <c r="A399" s="23" t="n">
        <f aca="false">A398+1</f>
        <v>395</v>
      </c>
      <c r="B399" s="14" t="s">
        <v>413</v>
      </c>
      <c r="C399" s="21" t="n">
        <f aca="false">CODE(RIGHT(B399,1))</f>
        <v>28</v>
      </c>
      <c r="D399" s="14" t="str">
        <f aca="false">CLEAN(B399)</f>
        <v>///PR:Music_____SP:Barney20171022 $1291   </v>
      </c>
      <c r="E399" s="21" t="n">
        <f aca="false">CODE(RIGHT(D399,1))</f>
        <v>32</v>
      </c>
      <c r="F399" s="14" t="str">
        <f aca="false">SUBSTITUTE(D399,_xlfn.UNICHAR(160)," ")</f>
        <v>///PR:Music_____SP:Barney20171022 $1291   </v>
      </c>
      <c r="G399" s="14" t="str">
        <f aca="false">SUBSTITUTE(F399,"/","")</f>
        <v>PR:Music_____SP:Barney20171022 $1291   </v>
      </c>
      <c r="H399" s="14" t="str">
        <f aca="false">SUBSTITUTE(G399,"_"," ")</f>
        <v>PR:Music     SP:Barney20171022 $1291   </v>
      </c>
      <c r="I399" s="14" t="str">
        <f aca="false">TRIM(H399)</f>
        <v>PR:Music SP:Barney20171022 $1291</v>
      </c>
      <c r="J399" s="21" t="n">
        <f aca="false">LEN(I399)</f>
        <v>32</v>
      </c>
      <c r="K399" s="21" t="n">
        <f aca="false">CODE(RIGHT(I399,1))</f>
        <v>49</v>
      </c>
      <c r="L399" s="14" t="str">
        <f aca="false">SUBSTITUTE(I399,"PR:","")</f>
        <v>Music SP:Barney20171022 $1291</v>
      </c>
      <c r="M399" s="14" t="str">
        <f aca="false">SUBSTITUTE(L399,"SP:","")</f>
        <v>Music Barney20171022 $1291</v>
      </c>
      <c r="N399" s="15" t="str">
        <f aca="false">SUBSTITUTE(M399,"201710"," 201710")</f>
        <v>Music Barney 20171022 $1291</v>
      </c>
      <c r="O399" s="21" t="n">
        <f aca="false">FIND(" ",N399)</f>
        <v>6</v>
      </c>
      <c r="P399" s="21" t="n">
        <f aca="false">FIND(" ",N399,O399+1)</f>
        <v>13</v>
      </c>
      <c r="Q399" s="21" t="n">
        <f aca="false">FIND(" ",N399,P399+1)</f>
        <v>22</v>
      </c>
      <c r="R399" s="26" t="str">
        <f aca="false">LEFT(N399,O399-1)</f>
        <v>Music</v>
      </c>
      <c r="S399" s="26" t="str">
        <f aca="false">MID(N399,O399+1,P399-O399-1)</f>
        <v>Barney</v>
      </c>
      <c r="T399" s="26" t="str">
        <f aca="false">MID(N399,P399+1,Q399-P399-1)</f>
        <v>20171022</v>
      </c>
      <c r="U399" s="26" t="n">
        <f aca="false">VALUE(MID(N399,Q399+2,90))</f>
        <v>1291</v>
      </c>
      <c r="V399" s="27" t="n">
        <f aca="false">DATE(2017,10,MID(T399,7,2))</f>
        <v>43030</v>
      </c>
    </row>
    <row r="400" customFormat="false" ht="14.25" hidden="false" customHeight="false" outlineLevel="0" collapsed="false">
      <c r="A400" s="23" t="n">
        <f aca="false">A399+1</f>
        <v>396</v>
      </c>
      <c r="B400" s="14" t="s">
        <v>414</v>
      </c>
      <c r="C400" s="21" t="n">
        <f aca="false">CODE(RIGHT(B400,1))</f>
        <v>29</v>
      </c>
      <c r="D400" s="14" t="str">
        <f aca="false">CLEAN(B400)</f>
        <v>/////PR:Music___SP:Barney20171017   $1294   </v>
      </c>
      <c r="E400" s="21" t="n">
        <f aca="false">CODE(RIGHT(D400,1))</f>
        <v>32</v>
      </c>
      <c r="F400" s="14" t="str">
        <f aca="false">SUBSTITUTE(D400,_xlfn.UNICHAR(160)," ")</f>
        <v>/////PR:Music___SP:Barney20171017   $1294   </v>
      </c>
      <c r="G400" s="14" t="str">
        <f aca="false">SUBSTITUTE(F400,"/","")</f>
        <v>PR:Music___SP:Barney20171017   $1294   </v>
      </c>
      <c r="H400" s="14" t="str">
        <f aca="false">SUBSTITUTE(G400,"_"," ")</f>
        <v>PR:Music   SP:Barney20171017   $1294   </v>
      </c>
      <c r="I400" s="14" t="str">
        <f aca="false">TRIM(H400)</f>
        <v>PR:Music SP:Barney20171017 $1294</v>
      </c>
      <c r="J400" s="21" t="n">
        <f aca="false">LEN(I400)</f>
        <v>32</v>
      </c>
      <c r="K400" s="21" t="n">
        <f aca="false">CODE(RIGHT(I400,1))</f>
        <v>52</v>
      </c>
      <c r="L400" s="14" t="str">
        <f aca="false">SUBSTITUTE(I400,"PR:","")</f>
        <v>Music SP:Barney20171017 $1294</v>
      </c>
      <c r="M400" s="14" t="str">
        <f aca="false">SUBSTITUTE(L400,"SP:","")</f>
        <v>Music Barney20171017 $1294</v>
      </c>
      <c r="N400" s="15" t="str">
        <f aca="false">SUBSTITUTE(M400,"201710"," 201710")</f>
        <v>Music Barney 20171017 $1294</v>
      </c>
      <c r="O400" s="21" t="n">
        <f aca="false">FIND(" ",N400)</f>
        <v>6</v>
      </c>
      <c r="P400" s="21" t="n">
        <f aca="false">FIND(" ",N400,O400+1)</f>
        <v>13</v>
      </c>
      <c r="Q400" s="21" t="n">
        <f aca="false">FIND(" ",N400,P400+1)</f>
        <v>22</v>
      </c>
      <c r="R400" s="26" t="str">
        <f aca="false">LEFT(N400,O400-1)</f>
        <v>Music</v>
      </c>
      <c r="S400" s="26" t="str">
        <f aca="false">MID(N400,O400+1,P400-O400-1)</f>
        <v>Barney</v>
      </c>
      <c r="T400" s="26" t="str">
        <f aca="false">MID(N400,P400+1,Q400-P400-1)</f>
        <v>20171017</v>
      </c>
      <c r="U400" s="26" t="n">
        <f aca="false">VALUE(MID(N400,Q400+2,90))</f>
        <v>1294</v>
      </c>
      <c r="V400" s="27" t="n">
        <f aca="false">DATE(2017,10,MID(T400,7,2))</f>
        <v>43025</v>
      </c>
    </row>
    <row r="401" customFormat="false" ht="14.25" hidden="false" customHeight="false" outlineLevel="0" collapsed="false">
      <c r="A401" s="23" t="n">
        <f aca="false">A400+1</f>
        <v>397</v>
      </c>
      <c r="B401" s="14" t="s">
        <v>415</v>
      </c>
      <c r="C401" s="21" t="n">
        <f aca="false">CODE(RIGHT(B401,1))</f>
        <v>29</v>
      </c>
      <c r="D401" s="14" t="str">
        <f aca="false">CLEAN(B401)</f>
        <v>/////PR:Music__SP:Alice20171010   $1098    </v>
      </c>
      <c r="E401" s="21" t="n">
        <f aca="false">CODE(RIGHT(D401,1))</f>
        <v>32</v>
      </c>
      <c r="F401" s="14" t="str">
        <f aca="false">SUBSTITUTE(D401,_xlfn.UNICHAR(160)," ")</f>
        <v>/////PR:Music__SP:Alice20171010   $1098    </v>
      </c>
      <c r="G401" s="14" t="str">
        <f aca="false">SUBSTITUTE(F401,"/","")</f>
        <v>PR:Music__SP:Alice20171010   $1098    </v>
      </c>
      <c r="H401" s="14" t="str">
        <f aca="false">SUBSTITUTE(G401,"_"," ")</f>
        <v>PR:Music  SP:Alice20171010   $1098    </v>
      </c>
      <c r="I401" s="14" t="str">
        <f aca="false">TRIM(H401)</f>
        <v>PR:Music SP:Alice20171010 $1098</v>
      </c>
      <c r="J401" s="21" t="n">
        <f aca="false">LEN(I401)</f>
        <v>31</v>
      </c>
      <c r="K401" s="21" t="n">
        <f aca="false">CODE(RIGHT(I401,1))</f>
        <v>56</v>
      </c>
      <c r="L401" s="14" t="str">
        <f aca="false">SUBSTITUTE(I401,"PR:","")</f>
        <v>Music SP:Alice20171010 $1098</v>
      </c>
      <c r="M401" s="14" t="str">
        <f aca="false">SUBSTITUTE(L401,"SP:","")</f>
        <v>Music Alice20171010 $1098</v>
      </c>
      <c r="N401" s="15" t="str">
        <f aca="false">SUBSTITUTE(M401,"201710"," 201710")</f>
        <v>Music Alice 20171010 $1098</v>
      </c>
      <c r="O401" s="21" t="n">
        <f aca="false">FIND(" ",N401)</f>
        <v>6</v>
      </c>
      <c r="P401" s="21" t="n">
        <f aca="false">FIND(" ",N401,O401+1)</f>
        <v>12</v>
      </c>
      <c r="Q401" s="21" t="n">
        <f aca="false">FIND(" ",N401,P401+1)</f>
        <v>21</v>
      </c>
      <c r="R401" s="26" t="str">
        <f aca="false">LEFT(N401,O401-1)</f>
        <v>Music</v>
      </c>
      <c r="S401" s="26" t="str">
        <f aca="false">MID(N401,O401+1,P401-O401-1)</f>
        <v>Alice</v>
      </c>
      <c r="T401" s="26" t="str">
        <f aca="false">MID(N401,P401+1,Q401-P401-1)</f>
        <v>20171010</v>
      </c>
      <c r="U401" s="26" t="n">
        <f aca="false">VALUE(MID(N401,Q401+2,90))</f>
        <v>1098</v>
      </c>
      <c r="V401" s="27" t="n">
        <f aca="false">DATE(2017,10,MID(T401,7,2))</f>
        <v>43018</v>
      </c>
    </row>
    <row r="402" customFormat="false" ht="14.25" hidden="false" customHeight="false" outlineLevel="0" collapsed="false">
      <c r="A402" s="23" t="n">
        <f aca="false">A401+1</f>
        <v>398</v>
      </c>
      <c r="B402" s="14" t="s">
        <v>416</v>
      </c>
      <c r="C402" s="21" t="n">
        <f aca="false">CODE(RIGHT(B402,1))</f>
        <v>29</v>
      </c>
      <c r="D402" s="14" t="str">
        <f aca="false">CLEAN(B402)</f>
        <v>////PR:Books___SP:Alice2017104  $716  </v>
      </c>
      <c r="E402" s="21" t="n">
        <f aca="false">CODE(RIGHT(D402,1))</f>
        <v>32</v>
      </c>
      <c r="F402" s="14" t="str">
        <f aca="false">SUBSTITUTE(D402,_xlfn.UNICHAR(160)," ")</f>
        <v>////PR:Books___SP:Alice2017104  $716  </v>
      </c>
      <c r="G402" s="14" t="str">
        <f aca="false">SUBSTITUTE(F402,"/","")</f>
        <v>PR:Books___SP:Alice2017104  $716  </v>
      </c>
      <c r="H402" s="14" t="str">
        <f aca="false">SUBSTITUTE(G402,"_"," ")</f>
        <v>PR:Books   SP:Alice2017104  $716  </v>
      </c>
      <c r="I402" s="14" t="str">
        <f aca="false">TRIM(H402)</f>
        <v>PR:Books SP:Alice2017104 $716</v>
      </c>
      <c r="J402" s="21" t="n">
        <f aca="false">LEN(I402)</f>
        <v>29</v>
      </c>
      <c r="K402" s="21" t="n">
        <f aca="false">CODE(RIGHT(I402,1))</f>
        <v>54</v>
      </c>
      <c r="L402" s="14" t="str">
        <f aca="false">SUBSTITUTE(I402,"PR:","")</f>
        <v>Books SP:Alice2017104 $716</v>
      </c>
      <c r="M402" s="14" t="str">
        <f aca="false">SUBSTITUTE(L402,"SP:","")</f>
        <v>Books Alice2017104 $716</v>
      </c>
      <c r="N402" s="15" t="str">
        <f aca="false">SUBSTITUTE(M402,"201710"," 201710")</f>
        <v>Books Alice 2017104 $716</v>
      </c>
      <c r="O402" s="21" t="n">
        <f aca="false">FIND(" ",N402)</f>
        <v>6</v>
      </c>
      <c r="P402" s="21" t="n">
        <f aca="false">FIND(" ",N402,O402+1)</f>
        <v>12</v>
      </c>
      <c r="Q402" s="21" t="n">
        <f aca="false">FIND(" ",N402,P402+1)</f>
        <v>20</v>
      </c>
      <c r="R402" s="26" t="str">
        <f aca="false">LEFT(N402,O402-1)</f>
        <v>Books</v>
      </c>
      <c r="S402" s="26" t="str">
        <f aca="false">MID(N402,O402+1,P402-O402-1)</f>
        <v>Alice</v>
      </c>
      <c r="T402" s="26" t="str">
        <f aca="false">MID(N402,P402+1,Q402-P402-1)</f>
        <v>2017104</v>
      </c>
      <c r="U402" s="26" t="n">
        <f aca="false">VALUE(MID(N402,Q402+2,90))</f>
        <v>716</v>
      </c>
      <c r="V402" s="27" t="n">
        <f aca="false">DATE(2017,10,MID(T402,7,2))</f>
        <v>43012</v>
      </c>
    </row>
    <row r="403" customFormat="false" ht="14.25" hidden="false" customHeight="false" outlineLevel="0" collapsed="false">
      <c r="A403" s="23" t="n">
        <f aca="false">A402+1</f>
        <v>399</v>
      </c>
      <c r="B403" s="14" t="s">
        <v>417</v>
      </c>
      <c r="C403" s="21" t="n">
        <f aca="false">CODE(RIGHT(B403,1))</f>
        <v>28</v>
      </c>
      <c r="D403" s="14" t="str">
        <f aca="false">CLEAN(B403)</f>
        <v>///PR:Clothing____SP:Alice20171012 $0     </v>
      </c>
      <c r="E403" s="21" t="n">
        <f aca="false">CODE(RIGHT(D403,1))</f>
        <v>32</v>
      </c>
      <c r="F403" s="14" t="str">
        <f aca="false">SUBSTITUTE(D403,_xlfn.UNICHAR(160)," ")</f>
        <v>///PR:Clothing____SP:Alice20171012 $0     </v>
      </c>
      <c r="G403" s="14" t="str">
        <f aca="false">SUBSTITUTE(F403,"/","")</f>
        <v>PR:Clothing____SP:Alice20171012 $0     </v>
      </c>
      <c r="H403" s="14" t="str">
        <f aca="false">SUBSTITUTE(G403,"_"," ")</f>
        <v>PR:Clothing    SP:Alice20171012 $0     </v>
      </c>
      <c r="I403" s="14" t="str">
        <f aca="false">TRIM(H403)</f>
        <v>PR:Clothing SP:Alice20171012 $0</v>
      </c>
      <c r="J403" s="21" t="n">
        <f aca="false">LEN(I403)</f>
        <v>31</v>
      </c>
      <c r="K403" s="21" t="n">
        <f aca="false">CODE(RIGHT(I403,1))</f>
        <v>48</v>
      </c>
      <c r="L403" s="14" t="str">
        <f aca="false">SUBSTITUTE(I403,"PR:","")</f>
        <v>Clothing SP:Alice20171012 $0</v>
      </c>
      <c r="M403" s="14" t="str">
        <f aca="false">SUBSTITUTE(L403,"SP:","")</f>
        <v>Clothing Alice20171012 $0</v>
      </c>
      <c r="N403" s="15" t="str">
        <f aca="false">SUBSTITUTE(M403,"201710"," 201710")</f>
        <v>Clothing Alice 20171012 $0</v>
      </c>
      <c r="O403" s="21" t="n">
        <f aca="false">FIND(" ",N403)</f>
        <v>9</v>
      </c>
      <c r="P403" s="21" t="n">
        <f aca="false">FIND(" ",N403,O403+1)</f>
        <v>15</v>
      </c>
      <c r="Q403" s="21" t="n">
        <f aca="false">FIND(" ",N403,P403+1)</f>
        <v>24</v>
      </c>
      <c r="R403" s="26" t="str">
        <f aca="false">LEFT(N403,O403-1)</f>
        <v>Clothing</v>
      </c>
      <c r="S403" s="26" t="str">
        <f aca="false">MID(N403,O403+1,P403-O403-1)</f>
        <v>Alice</v>
      </c>
      <c r="T403" s="26" t="str">
        <f aca="false">MID(N403,P403+1,Q403-P403-1)</f>
        <v>20171012</v>
      </c>
      <c r="U403" s="26" t="n">
        <f aca="false">VALUE(MID(N403,Q403+2,90))</f>
        <v>0</v>
      </c>
      <c r="V403" s="27" t="n">
        <f aca="false">DATE(2017,10,MID(T403,7,2))</f>
        <v>43020</v>
      </c>
    </row>
    <row r="404" customFormat="false" ht="14.25" hidden="false" customHeight="false" outlineLevel="0" collapsed="false">
      <c r="A404" s="23" t="n">
        <f aca="false">A403+1</f>
        <v>400</v>
      </c>
      <c r="B404" s="14" t="s">
        <v>418</v>
      </c>
      <c r="C404" s="21" t="n">
        <f aca="false">CODE(RIGHT(B404,1))</f>
        <v>31</v>
      </c>
      <c r="D404" s="14" t="str">
        <f aca="false">CLEAN(B404)</f>
        <v>///PR:Clothing_SP:David20171019   $0  </v>
      </c>
      <c r="E404" s="21" t="n">
        <f aca="false">CODE(RIGHT(D404,1))</f>
        <v>32</v>
      </c>
      <c r="F404" s="14" t="str">
        <f aca="false">SUBSTITUTE(D404,_xlfn.UNICHAR(160)," ")</f>
        <v>///PR:Clothing_SP:David20171019   $0  </v>
      </c>
      <c r="G404" s="14" t="str">
        <f aca="false">SUBSTITUTE(F404,"/","")</f>
        <v>PR:Clothing_SP:David20171019   $0  </v>
      </c>
      <c r="H404" s="14" t="str">
        <f aca="false">SUBSTITUTE(G404,"_"," ")</f>
        <v>PR:Clothing SP:David20171019   $0  </v>
      </c>
      <c r="I404" s="14" t="str">
        <f aca="false">TRIM(H404)</f>
        <v>PR:Clothing SP:David20171019 $0</v>
      </c>
      <c r="J404" s="21" t="n">
        <f aca="false">LEN(I404)</f>
        <v>31</v>
      </c>
      <c r="K404" s="21" t="n">
        <f aca="false">CODE(RIGHT(I404,1))</f>
        <v>48</v>
      </c>
      <c r="L404" s="14" t="str">
        <f aca="false">SUBSTITUTE(I404,"PR:","")</f>
        <v>Clothing SP:David20171019 $0</v>
      </c>
      <c r="M404" s="14" t="str">
        <f aca="false">SUBSTITUTE(L404,"SP:","")</f>
        <v>Clothing David20171019 $0</v>
      </c>
      <c r="N404" s="15" t="str">
        <f aca="false">SUBSTITUTE(M404,"201710"," 201710")</f>
        <v>Clothing David 20171019 $0</v>
      </c>
      <c r="O404" s="21" t="n">
        <f aca="false">FIND(" ",N404)</f>
        <v>9</v>
      </c>
      <c r="P404" s="21" t="n">
        <f aca="false">FIND(" ",N404,O404+1)</f>
        <v>15</v>
      </c>
      <c r="Q404" s="21" t="n">
        <f aca="false">FIND(" ",N404,P404+1)</f>
        <v>24</v>
      </c>
      <c r="R404" s="26" t="str">
        <f aca="false">LEFT(N404,O404-1)</f>
        <v>Clothing</v>
      </c>
      <c r="S404" s="26" t="str">
        <f aca="false">MID(N404,O404+1,P404-O404-1)</f>
        <v>David</v>
      </c>
      <c r="T404" s="26" t="str">
        <f aca="false">MID(N404,P404+1,Q404-P404-1)</f>
        <v>20171019</v>
      </c>
      <c r="U404" s="26" t="n">
        <f aca="false">VALUE(MID(N404,Q404+2,90))</f>
        <v>0</v>
      </c>
      <c r="V404" s="27" t="n">
        <f aca="false">DATE(2017,10,MID(T404,7,2))</f>
        <v>43027</v>
      </c>
    </row>
    <row r="405" customFormat="false" ht="14.25" hidden="false" customHeight="false" outlineLevel="0" collapsed="false">
      <c r="A405" s="23" t="n">
        <f aca="false">A404+1</f>
        <v>401</v>
      </c>
      <c r="B405" s="14" t="s">
        <v>419</v>
      </c>
      <c r="C405" s="21" t="n">
        <f aca="false">CODE(RIGHT(B405,1))</f>
        <v>28</v>
      </c>
      <c r="D405" s="14" t="str">
        <f aca="false">CLEAN(B405)</f>
        <v>//PR:Clothing_SP:Carol2017101 $988 </v>
      </c>
      <c r="E405" s="21" t="n">
        <f aca="false">CODE(RIGHT(D405,1))</f>
        <v>32</v>
      </c>
      <c r="F405" s="14" t="str">
        <f aca="false">SUBSTITUTE(D405,_xlfn.UNICHAR(160)," ")</f>
        <v>//PR:Clothing_SP:Carol2017101 $988 </v>
      </c>
      <c r="G405" s="14" t="str">
        <f aca="false">SUBSTITUTE(F405,"/","")</f>
        <v>PR:Clothing_SP:Carol2017101 $988 </v>
      </c>
      <c r="H405" s="14" t="str">
        <f aca="false">SUBSTITUTE(G405,"_"," ")</f>
        <v>PR:Clothing SP:Carol2017101 $988 </v>
      </c>
      <c r="I405" s="14" t="str">
        <f aca="false">TRIM(H405)</f>
        <v>PR:Clothing SP:Carol2017101 $988</v>
      </c>
      <c r="J405" s="21" t="n">
        <f aca="false">LEN(I405)</f>
        <v>32</v>
      </c>
      <c r="K405" s="21" t="n">
        <f aca="false">CODE(RIGHT(I405,1))</f>
        <v>56</v>
      </c>
      <c r="L405" s="14" t="str">
        <f aca="false">SUBSTITUTE(I405,"PR:","")</f>
        <v>Clothing SP:Carol2017101 $988</v>
      </c>
      <c r="M405" s="14" t="str">
        <f aca="false">SUBSTITUTE(L405,"SP:","")</f>
        <v>Clothing Carol2017101 $988</v>
      </c>
      <c r="N405" s="15" t="str">
        <f aca="false">SUBSTITUTE(M405,"201710"," 201710")</f>
        <v>Clothing Carol 2017101 $988</v>
      </c>
      <c r="O405" s="21" t="n">
        <f aca="false">FIND(" ",N405)</f>
        <v>9</v>
      </c>
      <c r="P405" s="21" t="n">
        <f aca="false">FIND(" ",N405,O405+1)</f>
        <v>15</v>
      </c>
      <c r="Q405" s="21" t="n">
        <f aca="false">FIND(" ",N405,P405+1)</f>
        <v>23</v>
      </c>
      <c r="R405" s="26" t="str">
        <f aca="false">LEFT(N405,O405-1)</f>
        <v>Clothing</v>
      </c>
      <c r="S405" s="26" t="str">
        <f aca="false">MID(N405,O405+1,P405-O405-1)</f>
        <v>Carol</v>
      </c>
      <c r="T405" s="26" t="str">
        <f aca="false">MID(N405,P405+1,Q405-P405-1)</f>
        <v>2017101</v>
      </c>
      <c r="U405" s="26" t="n">
        <f aca="false">VALUE(MID(N405,Q405+2,90))</f>
        <v>988</v>
      </c>
      <c r="V405" s="27" t="n">
        <f aca="false">DATE(2017,10,MID(T405,7,2))</f>
        <v>43009</v>
      </c>
    </row>
    <row r="406" customFormat="false" ht="14.25" hidden="false" customHeight="false" outlineLevel="0" collapsed="false">
      <c r="A406" s="23" t="n">
        <f aca="false">A405+1</f>
        <v>402</v>
      </c>
      <c r="B406" s="14" t="s">
        <v>420</v>
      </c>
      <c r="C406" s="21" t="n">
        <f aca="false">CODE(RIGHT(B406,1))</f>
        <v>28</v>
      </c>
      <c r="D406" s="14" t="str">
        <f aca="false">CLEAN(B406)</f>
        <v>//PR:Music_SP:Barney20171010 $1140   </v>
      </c>
      <c r="E406" s="21" t="n">
        <f aca="false">CODE(RIGHT(D406,1))</f>
        <v>32</v>
      </c>
      <c r="F406" s="14" t="str">
        <f aca="false">SUBSTITUTE(D406,_xlfn.UNICHAR(160)," ")</f>
        <v>//PR:Music_SP:Barney20171010 $1140   </v>
      </c>
      <c r="G406" s="14" t="str">
        <f aca="false">SUBSTITUTE(F406,"/","")</f>
        <v>PR:Music_SP:Barney20171010 $1140   </v>
      </c>
      <c r="H406" s="14" t="str">
        <f aca="false">SUBSTITUTE(G406,"_"," ")</f>
        <v>PR:Music SP:Barney20171010 $1140   </v>
      </c>
      <c r="I406" s="14" t="str">
        <f aca="false">TRIM(H406)</f>
        <v>PR:Music SP:Barney20171010 $1140</v>
      </c>
      <c r="J406" s="21" t="n">
        <f aca="false">LEN(I406)</f>
        <v>32</v>
      </c>
      <c r="K406" s="21" t="n">
        <f aca="false">CODE(RIGHT(I406,1))</f>
        <v>48</v>
      </c>
      <c r="L406" s="14" t="str">
        <f aca="false">SUBSTITUTE(I406,"PR:","")</f>
        <v>Music SP:Barney20171010 $1140</v>
      </c>
      <c r="M406" s="14" t="str">
        <f aca="false">SUBSTITUTE(L406,"SP:","")</f>
        <v>Music Barney20171010 $1140</v>
      </c>
      <c r="N406" s="15" t="str">
        <f aca="false">SUBSTITUTE(M406,"201710"," 201710")</f>
        <v>Music Barney 20171010 $1140</v>
      </c>
      <c r="O406" s="21" t="n">
        <f aca="false">FIND(" ",N406)</f>
        <v>6</v>
      </c>
      <c r="P406" s="21" t="n">
        <f aca="false">FIND(" ",N406,O406+1)</f>
        <v>13</v>
      </c>
      <c r="Q406" s="21" t="n">
        <f aca="false">FIND(" ",N406,P406+1)</f>
        <v>22</v>
      </c>
      <c r="R406" s="26" t="str">
        <f aca="false">LEFT(N406,O406-1)</f>
        <v>Music</v>
      </c>
      <c r="S406" s="26" t="str">
        <f aca="false">MID(N406,O406+1,P406-O406-1)</f>
        <v>Barney</v>
      </c>
      <c r="T406" s="26" t="str">
        <f aca="false">MID(N406,P406+1,Q406-P406-1)</f>
        <v>20171010</v>
      </c>
      <c r="U406" s="26" t="n">
        <f aca="false">VALUE(MID(N406,Q406+2,90))</f>
        <v>1140</v>
      </c>
      <c r="V406" s="27" t="n">
        <f aca="false">DATE(2017,10,MID(T406,7,2))</f>
        <v>43018</v>
      </c>
    </row>
    <row r="407" customFormat="false" ht="14.25" hidden="false" customHeight="false" outlineLevel="0" collapsed="false">
      <c r="A407" s="23" t="n">
        <f aca="false">A406+1</f>
        <v>403</v>
      </c>
      <c r="B407" s="14" t="s">
        <v>421</v>
      </c>
      <c r="C407" s="21" t="n">
        <f aca="false">CODE(RIGHT(B407,1))</f>
        <v>28</v>
      </c>
      <c r="D407" s="14" t="str">
        <f aca="false">CLEAN(B407)</f>
        <v>////PR:Books__SP:Alice20171019   $0  </v>
      </c>
      <c r="E407" s="21" t="n">
        <f aca="false">CODE(RIGHT(D407,1))</f>
        <v>32</v>
      </c>
      <c r="F407" s="14" t="str">
        <f aca="false">SUBSTITUTE(D407,_xlfn.UNICHAR(160)," ")</f>
        <v>////PR:Books__SP:Alice20171019   $0  </v>
      </c>
      <c r="G407" s="14" t="str">
        <f aca="false">SUBSTITUTE(F407,"/","")</f>
        <v>PR:Books__SP:Alice20171019   $0  </v>
      </c>
      <c r="H407" s="14" t="str">
        <f aca="false">SUBSTITUTE(G407,"_"," ")</f>
        <v>PR:Books  SP:Alice20171019   $0  </v>
      </c>
      <c r="I407" s="14" t="str">
        <f aca="false">TRIM(H407)</f>
        <v>PR:Books SP:Alice20171019 $0</v>
      </c>
      <c r="J407" s="21" t="n">
        <f aca="false">LEN(I407)</f>
        <v>28</v>
      </c>
      <c r="K407" s="21" t="n">
        <f aca="false">CODE(RIGHT(I407,1))</f>
        <v>48</v>
      </c>
      <c r="L407" s="14" t="str">
        <f aca="false">SUBSTITUTE(I407,"PR:","")</f>
        <v>Books SP:Alice20171019 $0</v>
      </c>
      <c r="M407" s="14" t="str">
        <f aca="false">SUBSTITUTE(L407,"SP:","")</f>
        <v>Books Alice20171019 $0</v>
      </c>
      <c r="N407" s="15" t="str">
        <f aca="false">SUBSTITUTE(M407,"201710"," 201710")</f>
        <v>Books Alice 20171019 $0</v>
      </c>
      <c r="O407" s="21" t="n">
        <f aca="false">FIND(" ",N407)</f>
        <v>6</v>
      </c>
      <c r="P407" s="21" t="n">
        <f aca="false">FIND(" ",N407,O407+1)</f>
        <v>12</v>
      </c>
      <c r="Q407" s="21" t="n">
        <f aca="false">FIND(" ",N407,P407+1)</f>
        <v>21</v>
      </c>
      <c r="R407" s="26" t="str">
        <f aca="false">LEFT(N407,O407-1)</f>
        <v>Books</v>
      </c>
      <c r="S407" s="26" t="str">
        <f aca="false">MID(N407,O407+1,P407-O407-1)</f>
        <v>Alice</v>
      </c>
      <c r="T407" s="26" t="str">
        <f aca="false">MID(N407,P407+1,Q407-P407-1)</f>
        <v>20171019</v>
      </c>
      <c r="U407" s="26" t="n">
        <f aca="false">VALUE(MID(N407,Q407+2,90))</f>
        <v>0</v>
      </c>
      <c r="V407" s="27" t="n">
        <f aca="false">DATE(2017,10,MID(T407,7,2))</f>
        <v>43027</v>
      </c>
    </row>
    <row r="408" customFormat="false" ht="14.25" hidden="false" customHeight="false" outlineLevel="0" collapsed="false">
      <c r="A408" s="23" t="n">
        <f aca="false">A407+1</f>
        <v>404</v>
      </c>
      <c r="B408" s="14" t="s">
        <v>422</v>
      </c>
      <c r="C408" s="21" t="n">
        <f aca="false">CODE(RIGHT(B408,1))</f>
        <v>31</v>
      </c>
      <c r="D408" s="14" t="str">
        <f aca="false">CLEAN(B408)</f>
        <v>/////PR:Music_SP:David20171018   $0 </v>
      </c>
      <c r="E408" s="21" t="n">
        <f aca="false">CODE(RIGHT(D408,1))</f>
        <v>32</v>
      </c>
      <c r="F408" s="14" t="str">
        <f aca="false">SUBSTITUTE(D408,_xlfn.UNICHAR(160)," ")</f>
        <v>/////PR:Music_SP:David20171018   $0 </v>
      </c>
      <c r="G408" s="14" t="str">
        <f aca="false">SUBSTITUTE(F408,"/","")</f>
        <v>PR:Music_SP:David20171018   $0 </v>
      </c>
      <c r="H408" s="14" t="str">
        <f aca="false">SUBSTITUTE(G408,"_"," ")</f>
        <v>PR:Music SP:David20171018   $0 </v>
      </c>
      <c r="I408" s="14" t="str">
        <f aca="false">TRIM(H408)</f>
        <v>PR:Music SP:David20171018 $0</v>
      </c>
      <c r="J408" s="21" t="n">
        <f aca="false">LEN(I408)</f>
        <v>28</v>
      </c>
      <c r="K408" s="21" t="n">
        <f aca="false">CODE(RIGHT(I408,1))</f>
        <v>48</v>
      </c>
      <c r="L408" s="14" t="str">
        <f aca="false">SUBSTITUTE(I408,"PR:","")</f>
        <v>Music SP:David20171018 $0</v>
      </c>
      <c r="M408" s="14" t="str">
        <f aca="false">SUBSTITUTE(L408,"SP:","")</f>
        <v>Music David20171018 $0</v>
      </c>
      <c r="N408" s="15" t="str">
        <f aca="false">SUBSTITUTE(M408,"201710"," 201710")</f>
        <v>Music David 20171018 $0</v>
      </c>
      <c r="O408" s="21" t="n">
        <f aca="false">FIND(" ",N408)</f>
        <v>6</v>
      </c>
      <c r="P408" s="21" t="n">
        <f aca="false">FIND(" ",N408,O408+1)</f>
        <v>12</v>
      </c>
      <c r="Q408" s="21" t="n">
        <f aca="false">FIND(" ",N408,P408+1)</f>
        <v>21</v>
      </c>
      <c r="R408" s="26" t="str">
        <f aca="false">LEFT(N408,O408-1)</f>
        <v>Music</v>
      </c>
      <c r="S408" s="26" t="str">
        <f aca="false">MID(N408,O408+1,P408-O408-1)</f>
        <v>David</v>
      </c>
      <c r="T408" s="26" t="str">
        <f aca="false">MID(N408,P408+1,Q408-P408-1)</f>
        <v>20171018</v>
      </c>
      <c r="U408" s="26" t="n">
        <f aca="false">VALUE(MID(N408,Q408+2,90))</f>
        <v>0</v>
      </c>
      <c r="V408" s="27" t="n">
        <f aca="false">DATE(2017,10,MID(T408,7,2))</f>
        <v>43026</v>
      </c>
    </row>
    <row r="409" customFormat="false" ht="14.25" hidden="false" customHeight="false" outlineLevel="0" collapsed="false">
      <c r="A409" s="23" t="n">
        <f aca="false">A408+1</f>
        <v>405</v>
      </c>
      <c r="B409" s="14" t="s">
        <v>423</v>
      </c>
      <c r="C409" s="21" t="n">
        <f aca="false">CODE(RIGHT(B409,1))</f>
        <v>29</v>
      </c>
      <c r="D409" s="14" t="str">
        <f aca="false">CLEAN(B409)</f>
        <v>/PR:Books_SP:David20171029  $0     </v>
      </c>
      <c r="E409" s="21" t="n">
        <f aca="false">CODE(RIGHT(D409,1))</f>
        <v>32</v>
      </c>
      <c r="F409" s="14" t="str">
        <f aca="false">SUBSTITUTE(D409,_xlfn.UNICHAR(160)," ")</f>
        <v>/PR:Books_SP:David20171029  $0     </v>
      </c>
      <c r="G409" s="14" t="str">
        <f aca="false">SUBSTITUTE(F409,"/","")</f>
        <v>PR:Books_SP:David20171029  $0     </v>
      </c>
      <c r="H409" s="14" t="str">
        <f aca="false">SUBSTITUTE(G409,"_"," ")</f>
        <v>PR:Books SP:David20171029  $0     </v>
      </c>
      <c r="I409" s="14" t="str">
        <f aca="false">TRIM(H409)</f>
        <v>PR:Books SP:David20171029 $0</v>
      </c>
      <c r="J409" s="21" t="n">
        <f aca="false">LEN(I409)</f>
        <v>28</v>
      </c>
      <c r="K409" s="21" t="n">
        <f aca="false">CODE(RIGHT(I409,1))</f>
        <v>48</v>
      </c>
      <c r="L409" s="14" t="str">
        <f aca="false">SUBSTITUTE(I409,"PR:","")</f>
        <v>Books SP:David20171029 $0</v>
      </c>
      <c r="M409" s="14" t="str">
        <f aca="false">SUBSTITUTE(L409,"SP:","")</f>
        <v>Books David20171029 $0</v>
      </c>
      <c r="N409" s="15" t="str">
        <f aca="false">SUBSTITUTE(M409,"201710"," 201710")</f>
        <v>Books David 20171029 $0</v>
      </c>
      <c r="O409" s="21" t="n">
        <f aca="false">FIND(" ",N409)</f>
        <v>6</v>
      </c>
      <c r="P409" s="21" t="n">
        <f aca="false">FIND(" ",N409,O409+1)</f>
        <v>12</v>
      </c>
      <c r="Q409" s="21" t="n">
        <f aca="false">FIND(" ",N409,P409+1)</f>
        <v>21</v>
      </c>
      <c r="R409" s="26" t="str">
        <f aca="false">LEFT(N409,O409-1)</f>
        <v>Books</v>
      </c>
      <c r="S409" s="26" t="str">
        <f aca="false">MID(N409,O409+1,P409-O409-1)</f>
        <v>David</v>
      </c>
      <c r="T409" s="26" t="str">
        <f aca="false">MID(N409,P409+1,Q409-P409-1)</f>
        <v>20171029</v>
      </c>
      <c r="U409" s="26" t="n">
        <f aca="false">VALUE(MID(N409,Q409+2,90))</f>
        <v>0</v>
      </c>
      <c r="V409" s="27" t="n">
        <f aca="false">DATE(2017,10,MID(T409,7,2))</f>
        <v>43037</v>
      </c>
    </row>
    <row r="410" customFormat="false" ht="14.25" hidden="false" customHeight="false" outlineLevel="0" collapsed="false">
      <c r="A410" s="23" t="n">
        <f aca="false">A409+1</f>
        <v>406</v>
      </c>
      <c r="B410" s="14" t="s">
        <v>424</v>
      </c>
      <c r="C410" s="21" t="n">
        <f aca="false">CODE(RIGHT(B410,1))</f>
        <v>30</v>
      </c>
      <c r="D410" s="14" t="str">
        <f aca="false">CLEAN(B410)</f>
        <v>//PR:Clothing___SP:Barney20171028    $1976 </v>
      </c>
      <c r="E410" s="21" t="n">
        <f aca="false">CODE(RIGHT(D410,1))</f>
        <v>32</v>
      </c>
      <c r="F410" s="14" t="str">
        <f aca="false">SUBSTITUTE(D410,_xlfn.UNICHAR(160)," ")</f>
        <v>//PR:Clothing___SP:Barney20171028    $1976 </v>
      </c>
      <c r="G410" s="14" t="str">
        <f aca="false">SUBSTITUTE(F410,"/","")</f>
        <v>PR:Clothing___SP:Barney20171028    $1976 </v>
      </c>
      <c r="H410" s="14" t="str">
        <f aca="false">SUBSTITUTE(G410,"_"," ")</f>
        <v>PR:Clothing   SP:Barney20171028    $1976 </v>
      </c>
      <c r="I410" s="14" t="str">
        <f aca="false">TRIM(H410)</f>
        <v>PR:Clothing SP:Barney20171028 $1976</v>
      </c>
      <c r="J410" s="21" t="n">
        <f aca="false">LEN(I410)</f>
        <v>35</v>
      </c>
      <c r="K410" s="21" t="n">
        <f aca="false">CODE(RIGHT(I410,1))</f>
        <v>54</v>
      </c>
      <c r="L410" s="14" t="str">
        <f aca="false">SUBSTITUTE(I410,"PR:","")</f>
        <v>Clothing SP:Barney20171028 $1976</v>
      </c>
      <c r="M410" s="14" t="str">
        <f aca="false">SUBSTITUTE(L410,"SP:","")</f>
        <v>Clothing Barney20171028 $1976</v>
      </c>
      <c r="N410" s="15" t="str">
        <f aca="false">SUBSTITUTE(M410,"201710"," 201710")</f>
        <v>Clothing Barney 20171028 $1976</v>
      </c>
      <c r="O410" s="21" t="n">
        <f aca="false">FIND(" ",N410)</f>
        <v>9</v>
      </c>
      <c r="P410" s="21" t="n">
        <f aca="false">FIND(" ",N410,O410+1)</f>
        <v>16</v>
      </c>
      <c r="Q410" s="21" t="n">
        <f aca="false">FIND(" ",N410,P410+1)</f>
        <v>25</v>
      </c>
      <c r="R410" s="26" t="str">
        <f aca="false">LEFT(N410,O410-1)</f>
        <v>Clothing</v>
      </c>
      <c r="S410" s="26" t="str">
        <f aca="false">MID(N410,O410+1,P410-O410-1)</f>
        <v>Barney</v>
      </c>
      <c r="T410" s="26" t="str">
        <f aca="false">MID(N410,P410+1,Q410-P410-1)</f>
        <v>20171028</v>
      </c>
      <c r="U410" s="26" t="n">
        <f aca="false">VALUE(MID(N410,Q410+2,90))</f>
        <v>1976</v>
      </c>
      <c r="V410" s="27" t="n">
        <f aca="false">DATE(2017,10,MID(T410,7,2))</f>
        <v>43036</v>
      </c>
    </row>
    <row r="411" customFormat="false" ht="14.25" hidden="false" customHeight="false" outlineLevel="0" collapsed="false">
      <c r="A411" s="23" t="n">
        <f aca="false">A410+1</f>
        <v>407</v>
      </c>
      <c r="B411" s="14" t="s">
        <v>425</v>
      </c>
      <c r="C411" s="21" t="n">
        <f aca="false">CODE(RIGHT(B411,1))</f>
        <v>31</v>
      </c>
      <c r="D411" s="14" t="str">
        <f aca="false">CLEAN(B411)</f>
        <v>/////PR:Clothing_SP:David20171021    $847   </v>
      </c>
      <c r="E411" s="21" t="n">
        <f aca="false">CODE(RIGHT(D411,1))</f>
        <v>32</v>
      </c>
      <c r="F411" s="14" t="str">
        <f aca="false">SUBSTITUTE(D411,_xlfn.UNICHAR(160)," ")</f>
        <v>/////PR:Clothing_SP:David20171021    $847   </v>
      </c>
      <c r="G411" s="14" t="str">
        <f aca="false">SUBSTITUTE(F411,"/","")</f>
        <v>PR:Clothing_SP:David20171021    $847   </v>
      </c>
      <c r="H411" s="14" t="str">
        <f aca="false">SUBSTITUTE(G411,"_"," ")</f>
        <v>PR:Clothing SP:David20171021    $847   </v>
      </c>
      <c r="I411" s="14" t="str">
        <f aca="false">TRIM(H411)</f>
        <v>PR:Clothing SP:David20171021 $847</v>
      </c>
      <c r="J411" s="21" t="n">
        <f aca="false">LEN(I411)</f>
        <v>33</v>
      </c>
      <c r="K411" s="21" t="n">
        <f aca="false">CODE(RIGHT(I411,1))</f>
        <v>55</v>
      </c>
      <c r="L411" s="14" t="str">
        <f aca="false">SUBSTITUTE(I411,"PR:","")</f>
        <v>Clothing SP:David20171021 $847</v>
      </c>
      <c r="M411" s="14" t="str">
        <f aca="false">SUBSTITUTE(L411,"SP:","")</f>
        <v>Clothing David20171021 $847</v>
      </c>
      <c r="N411" s="15" t="str">
        <f aca="false">SUBSTITUTE(M411,"201710"," 201710")</f>
        <v>Clothing David 20171021 $847</v>
      </c>
      <c r="O411" s="21" t="n">
        <f aca="false">FIND(" ",N411)</f>
        <v>9</v>
      </c>
      <c r="P411" s="21" t="n">
        <f aca="false">FIND(" ",N411,O411+1)</f>
        <v>15</v>
      </c>
      <c r="Q411" s="21" t="n">
        <f aca="false">FIND(" ",N411,P411+1)</f>
        <v>24</v>
      </c>
      <c r="R411" s="26" t="str">
        <f aca="false">LEFT(N411,O411-1)</f>
        <v>Clothing</v>
      </c>
      <c r="S411" s="26" t="str">
        <f aca="false">MID(N411,O411+1,P411-O411-1)</f>
        <v>David</v>
      </c>
      <c r="T411" s="26" t="str">
        <f aca="false">MID(N411,P411+1,Q411-P411-1)</f>
        <v>20171021</v>
      </c>
      <c r="U411" s="26" t="n">
        <f aca="false">VALUE(MID(N411,Q411+2,90))</f>
        <v>847</v>
      </c>
      <c r="V411" s="27" t="n">
        <f aca="false">DATE(2017,10,MID(T411,7,2))</f>
        <v>43029</v>
      </c>
    </row>
    <row r="412" customFormat="false" ht="14.25" hidden="false" customHeight="false" outlineLevel="0" collapsed="false">
      <c r="A412" s="23" t="n">
        <f aca="false">A411+1</f>
        <v>408</v>
      </c>
      <c r="B412" s="14" t="s">
        <v>426</v>
      </c>
      <c r="C412" s="21" t="n">
        <f aca="false">CODE(RIGHT(B412,1))</f>
        <v>28</v>
      </c>
      <c r="D412" s="14" t="str">
        <f aca="false">CLEAN(B412)</f>
        <v>/////PR:Music_____SP:David20171014    $1203     </v>
      </c>
      <c r="E412" s="21" t="n">
        <f aca="false">CODE(RIGHT(D412,1))</f>
        <v>32</v>
      </c>
      <c r="F412" s="14" t="str">
        <f aca="false">SUBSTITUTE(D412,_xlfn.UNICHAR(160)," ")</f>
        <v>/////PR:Music_____SP:David20171014    $1203     </v>
      </c>
      <c r="G412" s="14" t="str">
        <f aca="false">SUBSTITUTE(F412,"/","")</f>
        <v>PR:Music_____SP:David20171014    $1203     </v>
      </c>
      <c r="H412" s="14" t="str">
        <f aca="false">SUBSTITUTE(G412,"_"," ")</f>
        <v>PR:Music     SP:David20171014    $1203     </v>
      </c>
      <c r="I412" s="14" t="str">
        <f aca="false">TRIM(H412)</f>
        <v>PR:Music SP:David20171014 $1203</v>
      </c>
      <c r="J412" s="21" t="n">
        <f aca="false">LEN(I412)</f>
        <v>31</v>
      </c>
      <c r="K412" s="21" t="n">
        <f aca="false">CODE(RIGHT(I412,1))</f>
        <v>51</v>
      </c>
      <c r="L412" s="14" t="str">
        <f aca="false">SUBSTITUTE(I412,"PR:","")</f>
        <v>Music SP:David20171014 $1203</v>
      </c>
      <c r="M412" s="14" t="str">
        <f aca="false">SUBSTITUTE(L412,"SP:","")</f>
        <v>Music David20171014 $1203</v>
      </c>
      <c r="N412" s="15" t="str">
        <f aca="false">SUBSTITUTE(M412,"201710"," 201710")</f>
        <v>Music David 20171014 $1203</v>
      </c>
      <c r="O412" s="21" t="n">
        <f aca="false">FIND(" ",N412)</f>
        <v>6</v>
      </c>
      <c r="P412" s="21" t="n">
        <f aca="false">FIND(" ",N412,O412+1)</f>
        <v>12</v>
      </c>
      <c r="Q412" s="21" t="n">
        <f aca="false">FIND(" ",N412,P412+1)</f>
        <v>21</v>
      </c>
      <c r="R412" s="26" t="str">
        <f aca="false">LEFT(N412,O412-1)</f>
        <v>Music</v>
      </c>
      <c r="S412" s="26" t="str">
        <f aca="false">MID(N412,O412+1,P412-O412-1)</f>
        <v>David</v>
      </c>
      <c r="T412" s="26" t="str">
        <f aca="false">MID(N412,P412+1,Q412-P412-1)</f>
        <v>20171014</v>
      </c>
      <c r="U412" s="26" t="n">
        <f aca="false">VALUE(MID(N412,Q412+2,90))</f>
        <v>1203</v>
      </c>
      <c r="V412" s="27" t="n">
        <f aca="false">DATE(2017,10,MID(T412,7,2))</f>
        <v>43022</v>
      </c>
    </row>
    <row r="413" customFormat="false" ht="14.25" hidden="false" customHeight="false" outlineLevel="0" collapsed="false">
      <c r="A413" s="23" t="n">
        <f aca="false">A412+1</f>
        <v>409</v>
      </c>
      <c r="B413" s="14" t="s">
        <v>427</v>
      </c>
      <c r="C413" s="21" t="n">
        <f aca="false">CODE(RIGHT(B413,1))</f>
        <v>31</v>
      </c>
      <c r="D413" s="14" t="str">
        <f aca="false">CLEAN(B413)</f>
        <v>/PR:Music_____SP:David20171023     $0    </v>
      </c>
      <c r="E413" s="21" t="n">
        <f aca="false">CODE(RIGHT(D413,1))</f>
        <v>32</v>
      </c>
      <c r="F413" s="14" t="str">
        <f aca="false">SUBSTITUTE(D413,_xlfn.UNICHAR(160)," ")</f>
        <v>/PR:Music_____SP:David20171023     $0    </v>
      </c>
      <c r="G413" s="14" t="str">
        <f aca="false">SUBSTITUTE(F413,"/","")</f>
        <v>PR:Music_____SP:David20171023     $0    </v>
      </c>
      <c r="H413" s="14" t="str">
        <f aca="false">SUBSTITUTE(G413,"_"," ")</f>
        <v>PR:Music     SP:David20171023     $0    </v>
      </c>
      <c r="I413" s="14" t="str">
        <f aca="false">TRIM(H413)</f>
        <v>PR:Music SP:David20171023 $0</v>
      </c>
      <c r="J413" s="21" t="n">
        <f aca="false">LEN(I413)</f>
        <v>28</v>
      </c>
      <c r="K413" s="21" t="n">
        <f aca="false">CODE(RIGHT(I413,1))</f>
        <v>48</v>
      </c>
      <c r="L413" s="14" t="str">
        <f aca="false">SUBSTITUTE(I413,"PR:","")</f>
        <v>Music SP:David20171023 $0</v>
      </c>
      <c r="M413" s="14" t="str">
        <f aca="false">SUBSTITUTE(L413,"SP:","")</f>
        <v>Music David20171023 $0</v>
      </c>
      <c r="N413" s="15" t="str">
        <f aca="false">SUBSTITUTE(M413,"201710"," 201710")</f>
        <v>Music David 20171023 $0</v>
      </c>
      <c r="O413" s="21" t="n">
        <f aca="false">FIND(" ",N413)</f>
        <v>6</v>
      </c>
      <c r="P413" s="21" t="n">
        <f aca="false">FIND(" ",N413,O413+1)</f>
        <v>12</v>
      </c>
      <c r="Q413" s="21" t="n">
        <f aca="false">FIND(" ",N413,P413+1)</f>
        <v>21</v>
      </c>
      <c r="R413" s="26" t="str">
        <f aca="false">LEFT(N413,O413-1)</f>
        <v>Music</v>
      </c>
      <c r="S413" s="26" t="str">
        <f aca="false">MID(N413,O413+1,P413-O413-1)</f>
        <v>David</v>
      </c>
      <c r="T413" s="26" t="str">
        <f aca="false">MID(N413,P413+1,Q413-P413-1)</f>
        <v>20171023</v>
      </c>
      <c r="U413" s="26" t="n">
        <f aca="false">VALUE(MID(N413,Q413+2,90))</f>
        <v>0</v>
      </c>
      <c r="V413" s="27" t="n">
        <f aca="false">DATE(2017,10,MID(T413,7,2))</f>
        <v>43031</v>
      </c>
    </row>
    <row r="414" customFormat="false" ht="14.25" hidden="false" customHeight="false" outlineLevel="0" collapsed="false">
      <c r="A414" s="23" t="n">
        <f aca="false">A413+1</f>
        <v>410</v>
      </c>
      <c r="B414" s="14" t="s">
        <v>428</v>
      </c>
      <c r="C414" s="21" t="n">
        <f aca="false">CODE(RIGHT(B414,1))</f>
        <v>31</v>
      </c>
      <c r="D414" s="14" t="str">
        <f aca="false">CLEAN(B414)</f>
        <v>/PR:Music_____SP:Alice20171025     $1069 </v>
      </c>
      <c r="E414" s="21" t="n">
        <f aca="false">CODE(RIGHT(D414,1))</f>
        <v>32</v>
      </c>
      <c r="F414" s="14" t="str">
        <f aca="false">SUBSTITUTE(D414,_xlfn.UNICHAR(160)," ")</f>
        <v>/PR:Music_____SP:Alice20171025     $1069 </v>
      </c>
      <c r="G414" s="14" t="str">
        <f aca="false">SUBSTITUTE(F414,"/","")</f>
        <v>PR:Music_____SP:Alice20171025     $1069 </v>
      </c>
      <c r="H414" s="14" t="str">
        <f aca="false">SUBSTITUTE(G414,"_"," ")</f>
        <v>PR:Music     SP:Alice20171025     $1069 </v>
      </c>
      <c r="I414" s="14" t="str">
        <f aca="false">TRIM(H414)</f>
        <v>PR:Music SP:Alice20171025 $1069</v>
      </c>
      <c r="J414" s="21" t="n">
        <f aca="false">LEN(I414)</f>
        <v>31</v>
      </c>
      <c r="K414" s="21" t="n">
        <f aca="false">CODE(RIGHT(I414,1))</f>
        <v>57</v>
      </c>
      <c r="L414" s="14" t="str">
        <f aca="false">SUBSTITUTE(I414,"PR:","")</f>
        <v>Music SP:Alice20171025 $1069</v>
      </c>
      <c r="M414" s="14" t="str">
        <f aca="false">SUBSTITUTE(L414,"SP:","")</f>
        <v>Music Alice20171025 $1069</v>
      </c>
      <c r="N414" s="15" t="str">
        <f aca="false">SUBSTITUTE(M414,"201710"," 201710")</f>
        <v>Music Alice 20171025 $1069</v>
      </c>
      <c r="O414" s="21" t="n">
        <f aca="false">FIND(" ",N414)</f>
        <v>6</v>
      </c>
      <c r="P414" s="21" t="n">
        <f aca="false">FIND(" ",N414,O414+1)</f>
        <v>12</v>
      </c>
      <c r="Q414" s="21" t="n">
        <f aca="false">FIND(" ",N414,P414+1)</f>
        <v>21</v>
      </c>
      <c r="R414" s="26" t="str">
        <f aca="false">LEFT(N414,O414-1)</f>
        <v>Music</v>
      </c>
      <c r="S414" s="26" t="str">
        <f aca="false">MID(N414,O414+1,P414-O414-1)</f>
        <v>Alice</v>
      </c>
      <c r="T414" s="26" t="str">
        <f aca="false">MID(N414,P414+1,Q414-P414-1)</f>
        <v>20171025</v>
      </c>
      <c r="U414" s="26" t="n">
        <f aca="false">VALUE(MID(N414,Q414+2,90))</f>
        <v>1069</v>
      </c>
      <c r="V414" s="27" t="n">
        <f aca="false">DATE(2017,10,MID(T414,7,2))</f>
        <v>43033</v>
      </c>
    </row>
    <row r="415" customFormat="false" ht="14.25" hidden="false" customHeight="false" outlineLevel="0" collapsed="false">
      <c r="A415" s="23" t="n">
        <f aca="false">A414+1</f>
        <v>411</v>
      </c>
      <c r="B415" s="14" t="s">
        <v>429</v>
      </c>
      <c r="C415" s="21" t="n">
        <f aca="false">CODE(RIGHT(B415,1))</f>
        <v>30</v>
      </c>
      <c r="D415" s="14" t="str">
        <f aca="false">CLEAN(B415)</f>
        <v>/PR:Books_____SP:David20171026    $837  </v>
      </c>
      <c r="E415" s="21" t="n">
        <f aca="false">CODE(RIGHT(D415,1))</f>
        <v>32</v>
      </c>
      <c r="F415" s="14" t="str">
        <f aca="false">SUBSTITUTE(D415,_xlfn.UNICHAR(160)," ")</f>
        <v>/PR:Books_____SP:David20171026    $837  </v>
      </c>
      <c r="G415" s="14" t="str">
        <f aca="false">SUBSTITUTE(F415,"/","")</f>
        <v>PR:Books_____SP:David20171026    $837  </v>
      </c>
      <c r="H415" s="14" t="str">
        <f aca="false">SUBSTITUTE(G415,"_"," ")</f>
        <v>PR:Books     SP:David20171026    $837  </v>
      </c>
      <c r="I415" s="14" t="str">
        <f aca="false">TRIM(H415)</f>
        <v>PR:Books SP:David20171026 $837</v>
      </c>
      <c r="J415" s="21" t="n">
        <f aca="false">LEN(I415)</f>
        <v>30</v>
      </c>
      <c r="K415" s="21" t="n">
        <f aca="false">CODE(RIGHT(I415,1))</f>
        <v>55</v>
      </c>
      <c r="L415" s="14" t="str">
        <f aca="false">SUBSTITUTE(I415,"PR:","")</f>
        <v>Books SP:David20171026 $837</v>
      </c>
      <c r="M415" s="14" t="str">
        <f aca="false">SUBSTITUTE(L415,"SP:","")</f>
        <v>Books David20171026 $837</v>
      </c>
      <c r="N415" s="15" t="str">
        <f aca="false">SUBSTITUTE(M415,"201710"," 201710")</f>
        <v>Books David 20171026 $837</v>
      </c>
      <c r="O415" s="21" t="n">
        <f aca="false">FIND(" ",N415)</f>
        <v>6</v>
      </c>
      <c r="P415" s="21" t="n">
        <f aca="false">FIND(" ",N415,O415+1)</f>
        <v>12</v>
      </c>
      <c r="Q415" s="21" t="n">
        <f aca="false">FIND(" ",N415,P415+1)</f>
        <v>21</v>
      </c>
      <c r="R415" s="26" t="str">
        <f aca="false">LEFT(N415,O415-1)</f>
        <v>Books</v>
      </c>
      <c r="S415" s="26" t="str">
        <f aca="false">MID(N415,O415+1,P415-O415-1)</f>
        <v>David</v>
      </c>
      <c r="T415" s="26" t="str">
        <f aca="false">MID(N415,P415+1,Q415-P415-1)</f>
        <v>20171026</v>
      </c>
      <c r="U415" s="26" t="n">
        <f aca="false">VALUE(MID(N415,Q415+2,90))</f>
        <v>837</v>
      </c>
      <c r="V415" s="27" t="n">
        <f aca="false">DATE(2017,10,MID(T415,7,2))</f>
        <v>43034</v>
      </c>
    </row>
    <row r="416" customFormat="false" ht="14.25" hidden="false" customHeight="false" outlineLevel="0" collapsed="false">
      <c r="A416" s="23" t="n">
        <f aca="false">A415+1</f>
        <v>412</v>
      </c>
      <c r="B416" s="14" t="s">
        <v>430</v>
      </c>
      <c r="C416" s="21" t="n">
        <f aca="false">CODE(RIGHT(B416,1))</f>
        <v>30</v>
      </c>
      <c r="D416" s="14" t="str">
        <f aca="false">CLEAN(B416)</f>
        <v>//PR:Games___SP:Carol20171027     $2326   </v>
      </c>
      <c r="E416" s="21" t="n">
        <f aca="false">CODE(RIGHT(D416,1))</f>
        <v>32</v>
      </c>
      <c r="F416" s="14" t="str">
        <f aca="false">SUBSTITUTE(D416,_xlfn.UNICHAR(160)," ")</f>
        <v>//PR:Games___SP:Carol20171027     $2326   </v>
      </c>
      <c r="G416" s="14" t="str">
        <f aca="false">SUBSTITUTE(F416,"/","")</f>
        <v>PR:Games___SP:Carol20171027     $2326   </v>
      </c>
      <c r="H416" s="14" t="str">
        <f aca="false">SUBSTITUTE(G416,"_"," ")</f>
        <v>PR:Games   SP:Carol20171027     $2326   </v>
      </c>
      <c r="I416" s="14" t="str">
        <f aca="false">TRIM(H416)</f>
        <v>PR:Games SP:Carol20171027 $2326</v>
      </c>
      <c r="J416" s="21" t="n">
        <f aca="false">LEN(I416)</f>
        <v>31</v>
      </c>
      <c r="K416" s="21" t="n">
        <f aca="false">CODE(RIGHT(I416,1))</f>
        <v>54</v>
      </c>
      <c r="L416" s="14" t="str">
        <f aca="false">SUBSTITUTE(I416,"PR:","")</f>
        <v>Games SP:Carol20171027 $2326</v>
      </c>
      <c r="M416" s="14" t="str">
        <f aca="false">SUBSTITUTE(L416,"SP:","")</f>
        <v>Games Carol20171027 $2326</v>
      </c>
      <c r="N416" s="15" t="str">
        <f aca="false">SUBSTITUTE(M416,"201710"," 201710")</f>
        <v>Games Carol 20171027 $2326</v>
      </c>
      <c r="O416" s="21" t="n">
        <f aca="false">FIND(" ",N416)</f>
        <v>6</v>
      </c>
      <c r="P416" s="21" t="n">
        <f aca="false">FIND(" ",N416,O416+1)</f>
        <v>12</v>
      </c>
      <c r="Q416" s="21" t="n">
        <f aca="false">FIND(" ",N416,P416+1)</f>
        <v>21</v>
      </c>
      <c r="R416" s="26" t="str">
        <f aca="false">LEFT(N416,O416-1)</f>
        <v>Games</v>
      </c>
      <c r="S416" s="26" t="str">
        <f aca="false">MID(N416,O416+1,P416-O416-1)</f>
        <v>Carol</v>
      </c>
      <c r="T416" s="26" t="str">
        <f aca="false">MID(N416,P416+1,Q416-P416-1)</f>
        <v>20171027</v>
      </c>
      <c r="U416" s="26" t="n">
        <f aca="false">VALUE(MID(N416,Q416+2,90))</f>
        <v>2326</v>
      </c>
      <c r="V416" s="27" t="n">
        <f aca="false">DATE(2017,10,MID(T416,7,2))</f>
        <v>43035</v>
      </c>
    </row>
    <row r="417" customFormat="false" ht="14.25" hidden="false" customHeight="false" outlineLevel="0" collapsed="false">
      <c r="A417" s="23" t="n">
        <f aca="false">A416+1</f>
        <v>413</v>
      </c>
      <c r="B417" s="14" t="s">
        <v>431</v>
      </c>
      <c r="C417" s="21" t="n">
        <f aca="false">CODE(RIGHT(B417,1))</f>
        <v>28</v>
      </c>
      <c r="D417" s="14" t="str">
        <f aca="false">CLEAN(B417)</f>
        <v>////PR:Music__SP:Carol20171027   $1060   </v>
      </c>
      <c r="E417" s="21" t="n">
        <f aca="false">CODE(RIGHT(D417,1))</f>
        <v>32</v>
      </c>
      <c r="F417" s="14" t="str">
        <f aca="false">SUBSTITUTE(D417,_xlfn.UNICHAR(160)," ")</f>
        <v>////PR:Music__SP:Carol20171027   $1060   </v>
      </c>
      <c r="G417" s="14" t="str">
        <f aca="false">SUBSTITUTE(F417,"/","")</f>
        <v>PR:Music__SP:Carol20171027   $1060   </v>
      </c>
      <c r="H417" s="14" t="str">
        <f aca="false">SUBSTITUTE(G417,"_"," ")</f>
        <v>PR:Music  SP:Carol20171027   $1060   </v>
      </c>
      <c r="I417" s="14" t="str">
        <f aca="false">TRIM(H417)</f>
        <v>PR:Music SP:Carol20171027 $1060</v>
      </c>
      <c r="J417" s="21" t="n">
        <f aca="false">LEN(I417)</f>
        <v>31</v>
      </c>
      <c r="K417" s="21" t="n">
        <f aca="false">CODE(RIGHT(I417,1))</f>
        <v>48</v>
      </c>
      <c r="L417" s="14" t="str">
        <f aca="false">SUBSTITUTE(I417,"PR:","")</f>
        <v>Music SP:Carol20171027 $1060</v>
      </c>
      <c r="M417" s="14" t="str">
        <f aca="false">SUBSTITUTE(L417,"SP:","")</f>
        <v>Music Carol20171027 $1060</v>
      </c>
      <c r="N417" s="15" t="str">
        <f aca="false">SUBSTITUTE(M417,"201710"," 201710")</f>
        <v>Music Carol 20171027 $1060</v>
      </c>
      <c r="O417" s="21" t="n">
        <f aca="false">FIND(" ",N417)</f>
        <v>6</v>
      </c>
      <c r="P417" s="21" t="n">
        <f aca="false">FIND(" ",N417,O417+1)</f>
        <v>12</v>
      </c>
      <c r="Q417" s="21" t="n">
        <f aca="false">FIND(" ",N417,P417+1)</f>
        <v>21</v>
      </c>
      <c r="R417" s="26" t="str">
        <f aca="false">LEFT(N417,O417-1)</f>
        <v>Music</v>
      </c>
      <c r="S417" s="26" t="str">
        <f aca="false">MID(N417,O417+1,P417-O417-1)</f>
        <v>Carol</v>
      </c>
      <c r="T417" s="26" t="str">
        <f aca="false">MID(N417,P417+1,Q417-P417-1)</f>
        <v>20171027</v>
      </c>
      <c r="U417" s="26" t="n">
        <f aca="false">VALUE(MID(N417,Q417+2,90))</f>
        <v>1060</v>
      </c>
      <c r="V417" s="27" t="n">
        <f aca="false">DATE(2017,10,MID(T417,7,2))</f>
        <v>43035</v>
      </c>
    </row>
    <row r="418" customFormat="false" ht="14.25" hidden="false" customHeight="false" outlineLevel="0" collapsed="false">
      <c r="A418" s="23" t="n">
        <f aca="false">A417+1</f>
        <v>414</v>
      </c>
      <c r="B418" s="14" t="s">
        <v>432</v>
      </c>
      <c r="C418" s="21" t="n">
        <f aca="false">CODE(RIGHT(B418,1))</f>
        <v>31</v>
      </c>
      <c r="D418" s="14" t="str">
        <f aca="false">CLEAN(B418)</f>
        <v>/PR:Books_SP:David2017105 $540 </v>
      </c>
      <c r="E418" s="21" t="n">
        <f aca="false">CODE(RIGHT(D418,1))</f>
        <v>32</v>
      </c>
      <c r="F418" s="14" t="str">
        <f aca="false">SUBSTITUTE(D418,_xlfn.UNICHAR(160)," ")</f>
        <v>/PR:Books_SP:David2017105 $540 </v>
      </c>
      <c r="G418" s="14" t="str">
        <f aca="false">SUBSTITUTE(F418,"/","")</f>
        <v>PR:Books_SP:David2017105 $540 </v>
      </c>
      <c r="H418" s="14" t="str">
        <f aca="false">SUBSTITUTE(G418,"_"," ")</f>
        <v>PR:Books SP:David2017105 $540 </v>
      </c>
      <c r="I418" s="14" t="str">
        <f aca="false">TRIM(H418)</f>
        <v>PR:Books SP:David2017105 $540</v>
      </c>
      <c r="J418" s="21" t="n">
        <f aca="false">LEN(I418)</f>
        <v>29</v>
      </c>
      <c r="K418" s="21" t="n">
        <f aca="false">CODE(RIGHT(I418,1))</f>
        <v>48</v>
      </c>
      <c r="L418" s="14" t="str">
        <f aca="false">SUBSTITUTE(I418,"PR:","")</f>
        <v>Books SP:David2017105 $540</v>
      </c>
      <c r="M418" s="14" t="str">
        <f aca="false">SUBSTITUTE(L418,"SP:","")</f>
        <v>Books David2017105 $540</v>
      </c>
      <c r="N418" s="15" t="str">
        <f aca="false">SUBSTITUTE(M418,"201710"," 201710")</f>
        <v>Books David 2017105 $540</v>
      </c>
      <c r="O418" s="21" t="n">
        <f aca="false">FIND(" ",N418)</f>
        <v>6</v>
      </c>
      <c r="P418" s="21" t="n">
        <f aca="false">FIND(" ",N418,O418+1)</f>
        <v>12</v>
      </c>
      <c r="Q418" s="21" t="n">
        <f aca="false">FIND(" ",N418,P418+1)</f>
        <v>20</v>
      </c>
      <c r="R418" s="26" t="str">
        <f aca="false">LEFT(N418,O418-1)</f>
        <v>Books</v>
      </c>
      <c r="S418" s="26" t="str">
        <f aca="false">MID(N418,O418+1,P418-O418-1)</f>
        <v>David</v>
      </c>
      <c r="T418" s="26" t="str">
        <f aca="false">MID(N418,P418+1,Q418-P418-1)</f>
        <v>2017105</v>
      </c>
      <c r="U418" s="26" t="n">
        <f aca="false">VALUE(MID(N418,Q418+2,90))</f>
        <v>540</v>
      </c>
      <c r="V418" s="27" t="n">
        <f aca="false">DATE(2017,10,MID(T418,7,2))</f>
        <v>43013</v>
      </c>
    </row>
    <row r="419" customFormat="false" ht="14.25" hidden="false" customHeight="false" outlineLevel="0" collapsed="false">
      <c r="A419" s="23" t="n">
        <f aca="false">A418+1</f>
        <v>415</v>
      </c>
      <c r="B419" s="14" t="s">
        <v>433</v>
      </c>
      <c r="C419" s="21" t="n">
        <f aca="false">CODE(RIGHT(B419,1))</f>
        <v>31</v>
      </c>
      <c r="D419" s="14" t="str">
        <f aca="false">CLEAN(B419)</f>
        <v>/////PR:Music_SP:Barney2017106   $973     </v>
      </c>
      <c r="E419" s="21" t="n">
        <f aca="false">CODE(RIGHT(D419,1))</f>
        <v>32</v>
      </c>
      <c r="F419" s="14" t="str">
        <f aca="false">SUBSTITUTE(D419,_xlfn.UNICHAR(160)," ")</f>
        <v>/////PR:Music_SP:Barney2017106   $973     </v>
      </c>
      <c r="G419" s="14" t="str">
        <f aca="false">SUBSTITUTE(F419,"/","")</f>
        <v>PR:Music_SP:Barney2017106   $973     </v>
      </c>
      <c r="H419" s="14" t="str">
        <f aca="false">SUBSTITUTE(G419,"_"," ")</f>
        <v>PR:Music SP:Barney2017106   $973     </v>
      </c>
      <c r="I419" s="14" t="str">
        <f aca="false">TRIM(H419)</f>
        <v>PR:Music SP:Barney2017106 $973</v>
      </c>
      <c r="J419" s="21" t="n">
        <f aca="false">LEN(I419)</f>
        <v>30</v>
      </c>
      <c r="K419" s="21" t="n">
        <f aca="false">CODE(RIGHT(I419,1))</f>
        <v>51</v>
      </c>
      <c r="L419" s="14" t="str">
        <f aca="false">SUBSTITUTE(I419,"PR:","")</f>
        <v>Music SP:Barney2017106 $973</v>
      </c>
      <c r="M419" s="14" t="str">
        <f aca="false">SUBSTITUTE(L419,"SP:","")</f>
        <v>Music Barney2017106 $973</v>
      </c>
      <c r="N419" s="15" t="str">
        <f aca="false">SUBSTITUTE(M419,"201710"," 201710")</f>
        <v>Music Barney 2017106 $973</v>
      </c>
      <c r="O419" s="21" t="n">
        <f aca="false">FIND(" ",N419)</f>
        <v>6</v>
      </c>
      <c r="P419" s="21" t="n">
        <f aca="false">FIND(" ",N419,O419+1)</f>
        <v>13</v>
      </c>
      <c r="Q419" s="21" t="n">
        <f aca="false">FIND(" ",N419,P419+1)</f>
        <v>21</v>
      </c>
      <c r="R419" s="26" t="str">
        <f aca="false">LEFT(N419,O419-1)</f>
        <v>Music</v>
      </c>
      <c r="S419" s="26" t="str">
        <f aca="false">MID(N419,O419+1,P419-O419-1)</f>
        <v>Barney</v>
      </c>
      <c r="T419" s="26" t="str">
        <f aca="false">MID(N419,P419+1,Q419-P419-1)</f>
        <v>2017106</v>
      </c>
      <c r="U419" s="26" t="n">
        <f aca="false">VALUE(MID(N419,Q419+2,90))</f>
        <v>973</v>
      </c>
      <c r="V419" s="27" t="n">
        <f aca="false">DATE(2017,10,MID(T419,7,2))</f>
        <v>43014</v>
      </c>
    </row>
    <row r="420" customFormat="false" ht="14.25" hidden="false" customHeight="false" outlineLevel="0" collapsed="false">
      <c r="A420" s="23" t="n">
        <f aca="false">A419+1</f>
        <v>416</v>
      </c>
      <c r="B420" s="14" t="s">
        <v>434</v>
      </c>
      <c r="C420" s="21" t="n">
        <f aca="false">CODE(RIGHT(B420,1))</f>
        <v>30</v>
      </c>
      <c r="D420" s="14" t="str">
        <f aca="false">CLEAN(B420)</f>
        <v>////PR:Games__SP:Alice20171018 $2109   </v>
      </c>
      <c r="E420" s="21" t="n">
        <f aca="false">CODE(RIGHT(D420,1))</f>
        <v>32</v>
      </c>
      <c r="F420" s="14" t="str">
        <f aca="false">SUBSTITUTE(D420,_xlfn.UNICHAR(160)," ")</f>
        <v>////PR:Games__SP:Alice20171018 $2109   </v>
      </c>
      <c r="G420" s="14" t="str">
        <f aca="false">SUBSTITUTE(F420,"/","")</f>
        <v>PR:Games__SP:Alice20171018 $2109   </v>
      </c>
      <c r="H420" s="14" t="str">
        <f aca="false">SUBSTITUTE(G420,"_"," ")</f>
        <v>PR:Games  SP:Alice20171018 $2109   </v>
      </c>
      <c r="I420" s="14" t="str">
        <f aca="false">TRIM(H420)</f>
        <v>PR:Games SP:Alice20171018 $2109</v>
      </c>
      <c r="J420" s="21" t="n">
        <f aca="false">LEN(I420)</f>
        <v>31</v>
      </c>
      <c r="K420" s="21" t="n">
        <f aca="false">CODE(RIGHT(I420,1))</f>
        <v>57</v>
      </c>
      <c r="L420" s="14" t="str">
        <f aca="false">SUBSTITUTE(I420,"PR:","")</f>
        <v>Games SP:Alice20171018 $2109</v>
      </c>
      <c r="M420" s="14" t="str">
        <f aca="false">SUBSTITUTE(L420,"SP:","")</f>
        <v>Games Alice20171018 $2109</v>
      </c>
      <c r="N420" s="15" t="str">
        <f aca="false">SUBSTITUTE(M420,"201710"," 201710")</f>
        <v>Games Alice 20171018 $2109</v>
      </c>
      <c r="O420" s="21" t="n">
        <f aca="false">FIND(" ",N420)</f>
        <v>6</v>
      </c>
      <c r="P420" s="21" t="n">
        <f aca="false">FIND(" ",N420,O420+1)</f>
        <v>12</v>
      </c>
      <c r="Q420" s="21" t="n">
        <f aca="false">FIND(" ",N420,P420+1)</f>
        <v>21</v>
      </c>
      <c r="R420" s="26" t="str">
        <f aca="false">LEFT(N420,O420-1)</f>
        <v>Games</v>
      </c>
      <c r="S420" s="26" t="str">
        <f aca="false">MID(N420,O420+1,P420-O420-1)</f>
        <v>Alice</v>
      </c>
      <c r="T420" s="26" t="str">
        <f aca="false">MID(N420,P420+1,Q420-P420-1)</f>
        <v>20171018</v>
      </c>
      <c r="U420" s="26" t="n">
        <f aca="false">VALUE(MID(N420,Q420+2,90))</f>
        <v>2109</v>
      </c>
      <c r="V420" s="27" t="n">
        <f aca="false">DATE(2017,10,MID(T420,7,2))</f>
        <v>43026</v>
      </c>
    </row>
    <row r="421" customFormat="false" ht="14.25" hidden="false" customHeight="false" outlineLevel="0" collapsed="false">
      <c r="A421" s="23" t="n">
        <f aca="false">A420+1</f>
        <v>417</v>
      </c>
      <c r="B421" s="14" t="s">
        <v>435</v>
      </c>
      <c r="C421" s="21" t="n">
        <f aca="false">CODE(RIGHT(B421,1))</f>
        <v>30</v>
      </c>
      <c r="D421" s="14" t="str">
        <f aca="false">CLEAN(B421)</f>
        <v>////PR:Books__SP:Carol20171016 $618     </v>
      </c>
      <c r="E421" s="21" t="n">
        <f aca="false">CODE(RIGHT(D421,1))</f>
        <v>32</v>
      </c>
      <c r="F421" s="14" t="str">
        <f aca="false">SUBSTITUTE(D421,_xlfn.UNICHAR(160)," ")</f>
        <v>////PR:Books__SP:Carol20171016 $618     </v>
      </c>
      <c r="G421" s="14" t="str">
        <f aca="false">SUBSTITUTE(F421,"/","")</f>
        <v>PR:Books__SP:Carol20171016 $618     </v>
      </c>
      <c r="H421" s="14" t="str">
        <f aca="false">SUBSTITUTE(G421,"_"," ")</f>
        <v>PR:Books  SP:Carol20171016 $618     </v>
      </c>
      <c r="I421" s="14" t="str">
        <f aca="false">TRIM(H421)</f>
        <v>PR:Books SP:Carol20171016 $618</v>
      </c>
      <c r="J421" s="21" t="n">
        <f aca="false">LEN(I421)</f>
        <v>30</v>
      </c>
      <c r="K421" s="21" t="n">
        <f aca="false">CODE(RIGHT(I421,1))</f>
        <v>56</v>
      </c>
      <c r="L421" s="14" t="str">
        <f aca="false">SUBSTITUTE(I421,"PR:","")</f>
        <v>Books SP:Carol20171016 $618</v>
      </c>
      <c r="M421" s="14" t="str">
        <f aca="false">SUBSTITUTE(L421,"SP:","")</f>
        <v>Books Carol20171016 $618</v>
      </c>
      <c r="N421" s="15" t="str">
        <f aca="false">SUBSTITUTE(M421,"201710"," 201710")</f>
        <v>Books Carol 20171016 $618</v>
      </c>
      <c r="O421" s="21" t="n">
        <f aca="false">FIND(" ",N421)</f>
        <v>6</v>
      </c>
      <c r="P421" s="21" t="n">
        <f aca="false">FIND(" ",N421,O421+1)</f>
        <v>12</v>
      </c>
      <c r="Q421" s="21" t="n">
        <f aca="false">FIND(" ",N421,P421+1)</f>
        <v>21</v>
      </c>
      <c r="R421" s="26" t="str">
        <f aca="false">LEFT(N421,O421-1)</f>
        <v>Books</v>
      </c>
      <c r="S421" s="26" t="str">
        <f aca="false">MID(N421,O421+1,P421-O421-1)</f>
        <v>Carol</v>
      </c>
      <c r="T421" s="26" t="str">
        <f aca="false">MID(N421,P421+1,Q421-P421-1)</f>
        <v>20171016</v>
      </c>
      <c r="U421" s="26" t="n">
        <f aca="false">VALUE(MID(N421,Q421+2,90))</f>
        <v>618</v>
      </c>
      <c r="V421" s="27" t="n">
        <f aca="false">DATE(2017,10,MID(T421,7,2))</f>
        <v>43024</v>
      </c>
    </row>
    <row r="422" customFormat="false" ht="14.25" hidden="false" customHeight="false" outlineLevel="0" collapsed="false">
      <c r="A422" s="23" t="n">
        <f aca="false">A421+1</f>
        <v>418</v>
      </c>
      <c r="B422" s="14" t="s">
        <v>436</v>
      </c>
      <c r="C422" s="21" t="n">
        <f aca="false">CODE(RIGHT(B422,1))</f>
        <v>29</v>
      </c>
      <c r="D422" s="14" t="str">
        <f aca="false">CLEAN(B422)</f>
        <v>/////PR:Clothing_SP:Carol20171016   $1602    </v>
      </c>
      <c r="E422" s="21" t="n">
        <f aca="false">CODE(RIGHT(D422,1))</f>
        <v>32</v>
      </c>
      <c r="F422" s="14" t="str">
        <f aca="false">SUBSTITUTE(D422,_xlfn.UNICHAR(160)," ")</f>
        <v>/////PR:Clothing_SP:Carol20171016   $1602    </v>
      </c>
      <c r="G422" s="14" t="str">
        <f aca="false">SUBSTITUTE(F422,"/","")</f>
        <v>PR:Clothing_SP:Carol20171016   $1602    </v>
      </c>
      <c r="H422" s="14" t="str">
        <f aca="false">SUBSTITUTE(G422,"_"," ")</f>
        <v>PR:Clothing SP:Carol20171016   $1602    </v>
      </c>
      <c r="I422" s="14" t="str">
        <f aca="false">TRIM(H422)</f>
        <v>PR:Clothing SP:Carol20171016 $1602</v>
      </c>
      <c r="J422" s="21" t="n">
        <f aca="false">LEN(I422)</f>
        <v>34</v>
      </c>
      <c r="K422" s="21" t="n">
        <f aca="false">CODE(RIGHT(I422,1))</f>
        <v>50</v>
      </c>
      <c r="L422" s="14" t="str">
        <f aca="false">SUBSTITUTE(I422,"PR:","")</f>
        <v>Clothing SP:Carol20171016 $1602</v>
      </c>
      <c r="M422" s="14" t="str">
        <f aca="false">SUBSTITUTE(L422,"SP:","")</f>
        <v>Clothing Carol20171016 $1602</v>
      </c>
      <c r="N422" s="15" t="str">
        <f aca="false">SUBSTITUTE(M422,"201710"," 201710")</f>
        <v>Clothing Carol 20171016 $1602</v>
      </c>
      <c r="O422" s="21" t="n">
        <f aca="false">FIND(" ",N422)</f>
        <v>9</v>
      </c>
      <c r="P422" s="21" t="n">
        <f aca="false">FIND(" ",N422,O422+1)</f>
        <v>15</v>
      </c>
      <c r="Q422" s="21" t="n">
        <f aca="false">FIND(" ",N422,P422+1)</f>
        <v>24</v>
      </c>
      <c r="R422" s="26" t="str">
        <f aca="false">LEFT(N422,O422-1)</f>
        <v>Clothing</v>
      </c>
      <c r="S422" s="26" t="str">
        <f aca="false">MID(N422,O422+1,P422-O422-1)</f>
        <v>Carol</v>
      </c>
      <c r="T422" s="26" t="str">
        <f aca="false">MID(N422,P422+1,Q422-P422-1)</f>
        <v>20171016</v>
      </c>
      <c r="U422" s="26" t="n">
        <f aca="false">VALUE(MID(N422,Q422+2,90))</f>
        <v>1602</v>
      </c>
      <c r="V422" s="27" t="n">
        <f aca="false">DATE(2017,10,MID(T422,7,2))</f>
        <v>43024</v>
      </c>
    </row>
    <row r="423" customFormat="false" ht="14.25" hidden="false" customHeight="false" outlineLevel="0" collapsed="false">
      <c r="A423" s="23" t="n">
        <f aca="false">A422+1</f>
        <v>419</v>
      </c>
      <c r="B423" s="14" t="s">
        <v>437</v>
      </c>
      <c r="C423" s="21" t="n">
        <f aca="false">CODE(RIGHT(B423,1))</f>
        <v>30</v>
      </c>
      <c r="D423" s="14" t="str">
        <f aca="false">CLEAN(B423)</f>
        <v>/////PR:Games__SP:Carol20171031   $0   </v>
      </c>
      <c r="E423" s="21" t="n">
        <f aca="false">CODE(RIGHT(D423,1))</f>
        <v>32</v>
      </c>
      <c r="F423" s="14" t="str">
        <f aca="false">SUBSTITUTE(D423,_xlfn.UNICHAR(160)," ")</f>
        <v>/////PR:Games__SP:Carol20171031   $0   </v>
      </c>
      <c r="G423" s="14" t="str">
        <f aca="false">SUBSTITUTE(F423,"/","")</f>
        <v>PR:Games__SP:Carol20171031   $0   </v>
      </c>
      <c r="H423" s="14" t="str">
        <f aca="false">SUBSTITUTE(G423,"_"," ")</f>
        <v>PR:Games  SP:Carol20171031   $0   </v>
      </c>
      <c r="I423" s="14" t="str">
        <f aca="false">TRIM(H423)</f>
        <v>PR:Games SP:Carol20171031 $0</v>
      </c>
      <c r="J423" s="21" t="n">
        <f aca="false">LEN(I423)</f>
        <v>28</v>
      </c>
      <c r="K423" s="21" t="n">
        <f aca="false">CODE(RIGHT(I423,1))</f>
        <v>48</v>
      </c>
      <c r="L423" s="14" t="str">
        <f aca="false">SUBSTITUTE(I423,"PR:","")</f>
        <v>Games SP:Carol20171031 $0</v>
      </c>
      <c r="M423" s="14" t="str">
        <f aca="false">SUBSTITUTE(L423,"SP:","")</f>
        <v>Games Carol20171031 $0</v>
      </c>
      <c r="N423" s="15" t="str">
        <f aca="false">SUBSTITUTE(M423,"201710"," 201710")</f>
        <v>Games Carol 20171031 $0</v>
      </c>
      <c r="O423" s="21" t="n">
        <f aca="false">FIND(" ",N423)</f>
        <v>6</v>
      </c>
      <c r="P423" s="21" t="n">
        <f aca="false">FIND(" ",N423,O423+1)</f>
        <v>12</v>
      </c>
      <c r="Q423" s="21" t="n">
        <f aca="false">FIND(" ",N423,P423+1)</f>
        <v>21</v>
      </c>
      <c r="R423" s="26" t="str">
        <f aca="false">LEFT(N423,O423-1)</f>
        <v>Games</v>
      </c>
      <c r="S423" s="26" t="str">
        <f aca="false">MID(N423,O423+1,P423-O423-1)</f>
        <v>Carol</v>
      </c>
      <c r="T423" s="26" t="str">
        <f aca="false">MID(N423,P423+1,Q423-P423-1)</f>
        <v>20171031</v>
      </c>
      <c r="U423" s="26" t="n">
        <f aca="false">VALUE(MID(N423,Q423+2,90))</f>
        <v>0</v>
      </c>
      <c r="V423" s="27" t="n">
        <f aca="false">DATE(2017,10,MID(T423,7,2))</f>
        <v>43039</v>
      </c>
    </row>
    <row r="424" customFormat="false" ht="14.25" hidden="false" customHeight="false" outlineLevel="0" collapsed="false">
      <c r="A424" s="23" t="n">
        <f aca="false">A423+1</f>
        <v>420</v>
      </c>
      <c r="B424" s="14" t="s">
        <v>438</v>
      </c>
      <c r="C424" s="21" t="n">
        <f aca="false">CODE(RIGHT(B424,1))</f>
        <v>30</v>
      </c>
      <c r="D424" s="14" t="str">
        <f aca="false">CLEAN(B424)</f>
        <v>//PR:Games__SP:Carol2017104     $0 </v>
      </c>
      <c r="E424" s="21" t="n">
        <f aca="false">CODE(RIGHT(D424,1))</f>
        <v>32</v>
      </c>
      <c r="F424" s="14" t="str">
        <f aca="false">SUBSTITUTE(D424,_xlfn.UNICHAR(160)," ")</f>
        <v>//PR:Games__SP:Carol2017104     $0 </v>
      </c>
      <c r="G424" s="14" t="str">
        <f aca="false">SUBSTITUTE(F424,"/","")</f>
        <v>PR:Games__SP:Carol2017104     $0 </v>
      </c>
      <c r="H424" s="14" t="str">
        <f aca="false">SUBSTITUTE(G424,"_"," ")</f>
        <v>PR:Games  SP:Carol2017104     $0 </v>
      </c>
      <c r="I424" s="14" t="str">
        <f aca="false">TRIM(H424)</f>
        <v>PR:Games SP:Carol2017104 $0</v>
      </c>
      <c r="J424" s="21" t="n">
        <f aca="false">LEN(I424)</f>
        <v>27</v>
      </c>
      <c r="K424" s="21" t="n">
        <f aca="false">CODE(RIGHT(I424,1))</f>
        <v>48</v>
      </c>
      <c r="L424" s="14" t="str">
        <f aca="false">SUBSTITUTE(I424,"PR:","")</f>
        <v>Games SP:Carol2017104 $0</v>
      </c>
      <c r="M424" s="14" t="str">
        <f aca="false">SUBSTITUTE(L424,"SP:","")</f>
        <v>Games Carol2017104 $0</v>
      </c>
      <c r="N424" s="15" t="str">
        <f aca="false">SUBSTITUTE(M424,"201710"," 201710")</f>
        <v>Games Carol 2017104 $0</v>
      </c>
      <c r="O424" s="21" t="n">
        <f aca="false">FIND(" ",N424)</f>
        <v>6</v>
      </c>
      <c r="P424" s="21" t="n">
        <f aca="false">FIND(" ",N424,O424+1)</f>
        <v>12</v>
      </c>
      <c r="Q424" s="21" t="n">
        <f aca="false">FIND(" ",N424,P424+1)</f>
        <v>20</v>
      </c>
      <c r="R424" s="26" t="str">
        <f aca="false">LEFT(N424,O424-1)</f>
        <v>Games</v>
      </c>
      <c r="S424" s="26" t="str">
        <f aca="false">MID(N424,O424+1,P424-O424-1)</f>
        <v>Carol</v>
      </c>
      <c r="T424" s="26" t="str">
        <f aca="false">MID(N424,P424+1,Q424-P424-1)</f>
        <v>2017104</v>
      </c>
      <c r="U424" s="26" t="n">
        <f aca="false">VALUE(MID(N424,Q424+2,90))</f>
        <v>0</v>
      </c>
      <c r="V424" s="27" t="n">
        <f aca="false">DATE(2017,10,MID(T424,7,2))</f>
        <v>43012</v>
      </c>
    </row>
    <row r="425" customFormat="false" ht="14.25" hidden="false" customHeight="false" outlineLevel="0" collapsed="false">
      <c r="A425" s="23" t="n">
        <f aca="false">A424+1</f>
        <v>421</v>
      </c>
      <c r="B425" s="14" t="s">
        <v>439</v>
      </c>
      <c r="C425" s="21" t="n">
        <f aca="false">CODE(RIGHT(B425,1))</f>
        <v>29</v>
      </c>
      <c r="D425" s="14" t="str">
        <f aca="false">CLEAN(B425)</f>
        <v>/PR:Games_____SP:Carol20171013  $1546    </v>
      </c>
      <c r="E425" s="21" t="n">
        <f aca="false">CODE(RIGHT(D425,1))</f>
        <v>32</v>
      </c>
      <c r="F425" s="14" t="str">
        <f aca="false">SUBSTITUTE(D425,_xlfn.UNICHAR(160)," ")</f>
        <v>/PR:Games_____SP:Carol20171013  $1546    </v>
      </c>
      <c r="G425" s="14" t="str">
        <f aca="false">SUBSTITUTE(F425,"/","")</f>
        <v>PR:Games_____SP:Carol20171013  $1546    </v>
      </c>
      <c r="H425" s="14" t="str">
        <f aca="false">SUBSTITUTE(G425,"_"," ")</f>
        <v>PR:Games     SP:Carol20171013  $1546    </v>
      </c>
      <c r="I425" s="14" t="str">
        <f aca="false">TRIM(H425)</f>
        <v>PR:Games SP:Carol20171013 $1546</v>
      </c>
      <c r="J425" s="21" t="n">
        <f aca="false">LEN(I425)</f>
        <v>31</v>
      </c>
      <c r="K425" s="21" t="n">
        <f aca="false">CODE(RIGHT(I425,1))</f>
        <v>54</v>
      </c>
      <c r="L425" s="14" t="str">
        <f aca="false">SUBSTITUTE(I425,"PR:","")</f>
        <v>Games SP:Carol20171013 $1546</v>
      </c>
      <c r="M425" s="14" t="str">
        <f aca="false">SUBSTITUTE(L425,"SP:","")</f>
        <v>Games Carol20171013 $1546</v>
      </c>
      <c r="N425" s="15" t="str">
        <f aca="false">SUBSTITUTE(M425,"201710"," 201710")</f>
        <v>Games Carol 20171013 $1546</v>
      </c>
      <c r="O425" s="21" t="n">
        <f aca="false">FIND(" ",N425)</f>
        <v>6</v>
      </c>
      <c r="P425" s="21" t="n">
        <f aca="false">FIND(" ",N425,O425+1)</f>
        <v>12</v>
      </c>
      <c r="Q425" s="21" t="n">
        <f aca="false">FIND(" ",N425,P425+1)</f>
        <v>21</v>
      </c>
      <c r="R425" s="26" t="str">
        <f aca="false">LEFT(N425,O425-1)</f>
        <v>Games</v>
      </c>
      <c r="S425" s="26" t="str">
        <f aca="false">MID(N425,O425+1,P425-O425-1)</f>
        <v>Carol</v>
      </c>
      <c r="T425" s="26" t="str">
        <f aca="false">MID(N425,P425+1,Q425-P425-1)</f>
        <v>20171013</v>
      </c>
      <c r="U425" s="26" t="n">
        <f aca="false">VALUE(MID(N425,Q425+2,90))</f>
        <v>1546</v>
      </c>
      <c r="V425" s="27" t="n">
        <f aca="false">DATE(2017,10,MID(T425,7,2))</f>
        <v>43021</v>
      </c>
    </row>
    <row r="426" customFormat="false" ht="14.25" hidden="false" customHeight="false" outlineLevel="0" collapsed="false">
      <c r="A426" s="23" t="n">
        <f aca="false">A425+1</f>
        <v>422</v>
      </c>
      <c r="B426" s="14" t="s">
        <v>440</v>
      </c>
      <c r="C426" s="21" t="n">
        <f aca="false">CODE(RIGHT(B426,1))</f>
        <v>28</v>
      </c>
      <c r="D426" s="14" t="str">
        <f aca="false">CLEAN(B426)</f>
        <v>///PR:Games_____SP:Carol2017108  $2008  </v>
      </c>
      <c r="E426" s="21" t="n">
        <f aca="false">CODE(RIGHT(D426,1))</f>
        <v>32</v>
      </c>
      <c r="F426" s="14" t="str">
        <f aca="false">SUBSTITUTE(D426,_xlfn.UNICHAR(160)," ")</f>
        <v>///PR:Games_____SP:Carol2017108  $2008  </v>
      </c>
      <c r="G426" s="14" t="str">
        <f aca="false">SUBSTITUTE(F426,"/","")</f>
        <v>PR:Games_____SP:Carol2017108  $2008  </v>
      </c>
      <c r="H426" s="14" t="str">
        <f aca="false">SUBSTITUTE(G426,"_"," ")</f>
        <v>PR:Games     SP:Carol2017108  $2008  </v>
      </c>
      <c r="I426" s="14" t="str">
        <f aca="false">TRIM(H426)</f>
        <v>PR:Games SP:Carol2017108 $2008</v>
      </c>
      <c r="J426" s="21" t="n">
        <f aca="false">LEN(I426)</f>
        <v>30</v>
      </c>
      <c r="K426" s="21" t="n">
        <f aca="false">CODE(RIGHT(I426,1))</f>
        <v>56</v>
      </c>
      <c r="L426" s="14" t="str">
        <f aca="false">SUBSTITUTE(I426,"PR:","")</f>
        <v>Games SP:Carol2017108 $2008</v>
      </c>
      <c r="M426" s="14" t="str">
        <f aca="false">SUBSTITUTE(L426,"SP:","")</f>
        <v>Games Carol2017108 $2008</v>
      </c>
      <c r="N426" s="15" t="str">
        <f aca="false">SUBSTITUTE(M426,"201710"," 201710")</f>
        <v>Games Carol 2017108 $2008</v>
      </c>
      <c r="O426" s="21" t="n">
        <f aca="false">FIND(" ",N426)</f>
        <v>6</v>
      </c>
      <c r="P426" s="21" t="n">
        <f aca="false">FIND(" ",N426,O426+1)</f>
        <v>12</v>
      </c>
      <c r="Q426" s="21" t="n">
        <f aca="false">FIND(" ",N426,P426+1)</f>
        <v>20</v>
      </c>
      <c r="R426" s="26" t="str">
        <f aca="false">LEFT(N426,O426-1)</f>
        <v>Games</v>
      </c>
      <c r="S426" s="26" t="str">
        <f aca="false">MID(N426,O426+1,P426-O426-1)</f>
        <v>Carol</v>
      </c>
      <c r="T426" s="26" t="str">
        <f aca="false">MID(N426,P426+1,Q426-P426-1)</f>
        <v>2017108</v>
      </c>
      <c r="U426" s="26" t="n">
        <f aca="false">VALUE(MID(N426,Q426+2,90))</f>
        <v>2008</v>
      </c>
      <c r="V426" s="27" t="n">
        <f aca="false">DATE(2017,10,MID(T426,7,2))</f>
        <v>43016</v>
      </c>
    </row>
    <row r="427" customFormat="false" ht="14.25" hidden="false" customHeight="false" outlineLevel="0" collapsed="false">
      <c r="A427" s="23" t="n">
        <f aca="false">A426+1</f>
        <v>423</v>
      </c>
      <c r="B427" s="14" t="s">
        <v>441</v>
      </c>
      <c r="C427" s="21" t="n">
        <f aca="false">CODE(RIGHT(B427,1))</f>
        <v>30</v>
      </c>
      <c r="D427" s="14" t="str">
        <f aca="false">CLEAN(B427)</f>
        <v>////PR:Games_SP:Alice2017101 $2292  </v>
      </c>
      <c r="E427" s="21" t="n">
        <f aca="false">CODE(RIGHT(D427,1))</f>
        <v>32</v>
      </c>
      <c r="F427" s="14" t="str">
        <f aca="false">SUBSTITUTE(D427,_xlfn.UNICHAR(160)," ")</f>
        <v>////PR:Games_SP:Alice2017101 $2292  </v>
      </c>
      <c r="G427" s="14" t="str">
        <f aca="false">SUBSTITUTE(F427,"/","")</f>
        <v>PR:Games_SP:Alice2017101 $2292  </v>
      </c>
      <c r="H427" s="14" t="str">
        <f aca="false">SUBSTITUTE(G427,"_"," ")</f>
        <v>PR:Games SP:Alice2017101 $2292  </v>
      </c>
      <c r="I427" s="14" t="str">
        <f aca="false">TRIM(H427)</f>
        <v>PR:Games SP:Alice2017101 $2292</v>
      </c>
      <c r="J427" s="21" t="n">
        <f aca="false">LEN(I427)</f>
        <v>30</v>
      </c>
      <c r="K427" s="21" t="n">
        <f aca="false">CODE(RIGHT(I427,1))</f>
        <v>50</v>
      </c>
      <c r="L427" s="14" t="str">
        <f aca="false">SUBSTITUTE(I427,"PR:","")</f>
        <v>Games SP:Alice2017101 $2292</v>
      </c>
      <c r="M427" s="14" t="str">
        <f aca="false">SUBSTITUTE(L427,"SP:","")</f>
        <v>Games Alice2017101 $2292</v>
      </c>
      <c r="N427" s="15" t="str">
        <f aca="false">SUBSTITUTE(M427,"201710"," 201710")</f>
        <v>Games Alice 2017101 $2292</v>
      </c>
      <c r="O427" s="21" t="n">
        <f aca="false">FIND(" ",N427)</f>
        <v>6</v>
      </c>
      <c r="P427" s="21" t="n">
        <f aca="false">FIND(" ",N427,O427+1)</f>
        <v>12</v>
      </c>
      <c r="Q427" s="21" t="n">
        <f aca="false">FIND(" ",N427,P427+1)</f>
        <v>20</v>
      </c>
      <c r="R427" s="26" t="str">
        <f aca="false">LEFT(N427,O427-1)</f>
        <v>Games</v>
      </c>
      <c r="S427" s="26" t="str">
        <f aca="false">MID(N427,O427+1,P427-O427-1)</f>
        <v>Alice</v>
      </c>
      <c r="T427" s="26" t="str">
        <f aca="false">MID(N427,P427+1,Q427-P427-1)</f>
        <v>2017101</v>
      </c>
      <c r="U427" s="26" t="n">
        <f aca="false">VALUE(MID(N427,Q427+2,90))</f>
        <v>2292</v>
      </c>
      <c r="V427" s="27" t="n">
        <f aca="false">DATE(2017,10,MID(T427,7,2))</f>
        <v>43009</v>
      </c>
    </row>
    <row r="428" customFormat="false" ht="14.25" hidden="false" customHeight="false" outlineLevel="0" collapsed="false">
      <c r="A428" s="23" t="n">
        <f aca="false">A427+1</f>
        <v>424</v>
      </c>
      <c r="B428" s="14" t="s">
        <v>442</v>
      </c>
      <c r="C428" s="21" t="n">
        <f aca="false">CODE(RIGHT(B428,1))</f>
        <v>30</v>
      </c>
      <c r="D428" s="14" t="str">
        <f aca="false">CLEAN(B428)</f>
        <v>/PR:Books_SP:Alice20171015    $952  </v>
      </c>
      <c r="E428" s="21" t="n">
        <f aca="false">CODE(RIGHT(D428,1))</f>
        <v>32</v>
      </c>
      <c r="F428" s="14" t="str">
        <f aca="false">SUBSTITUTE(D428,_xlfn.UNICHAR(160)," ")</f>
        <v>/PR:Books_SP:Alice20171015    $952  </v>
      </c>
      <c r="G428" s="14" t="str">
        <f aca="false">SUBSTITUTE(F428,"/","")</f>
        <v>PR:Books_SP:Alice20171015    $952  </v>
      </c>
      <c r="H428" s="14" t="str">
        <f aca="false">SUBSTITUTE(G428,"_"," ")</f>
        <v>PR:Books SP:Alice20171015    $952  </v>
      </c>
      <c r="I428" s="14" t="str">
        <f aca="false">TRIM(H428)</f>
        <v>PR:Books SP:Alice20171015 $952</v>
      </c>
      <c r="J428" s="21" t="n">
        <f aca="false">LEN(I428)</f>
        <v>30</v>
      </c>
      <c r="K428" s="21" t="n">
        <f aca="false">CODE(RIGHT(I428,1))</f>
        <v>50</v>
      </c>
      <c r="L428" s="14" t="str">
        <f aca="false">SUBSTITUTE(I428,"PR:","")</f>
        <v>Books SP:Alice20171015 $952</v>
      </c>
      <c r="M428" s="14" t="str">
        <f aca="false">SUBSTITUTE(L428,"SP:","")</f>
        <v>Books Alice20171015 $952</v>
      </c>
      <c r="N428" s="15" t="str">
        <f aca="false">SUBSTITUTE(M428,"201710"," 201710")</f>
        <v>Books Alice 20171015 $952</v>
      </c>
      <c r="O428" s="21" t="n">
        <f aca="false">FIND(" ",N428)</f>
        <v>6</v>
      </c>
      <c r="P428" s="21" t="n">
        <f aca="false">FIND(" ",N428,O428+1)</f>
        <v>12</v>
      </c>
      <c r="Q428" s="21" t="n">
        <f aca="false">FIND(" ",N428,P428+1)</f>
        <v>21</v>
      </c>
      <c r="R428" s="26" t="str">
        <f aca="false">LEFT(N428,O428-1)</f>
        <v>Books</v>
      </c>
      <c r="S428" s="26" t="str">
        <f aca="false">MID(N428,O428+1,P428-O428-1)</f>
        <v>Alice</v>
      </c>
      <c r="T428" s="26" t="str">
        <f aca="false">MID(N428,P428+1,Q428-P428-1)</f>
        <v>20171015</v>
      </c>
      <c r="U428" s="26" t="n">
        <f aca="false">VALUE(MID(N428,Q428+2,90))</f>
        <v>952</v>
      </c>
      <c r="V428" s="27" t="n">
        <f aca="false">DATE(2017,10,MID(T428,7,2))</f>
        <v>43023</v>
      </c>
    </row>
    <row r="429" customFormat="false" ht="14.25" hidden="false" customHeight="false" outlineLevel="0" collapsed="false">
      <c r="A429" s="23" t="n">
        <f aca="false">A428+1</f>
        <v>425</v>
      </c>
      <c r="B429" s="14" t="s">
        <v>443</v>
      </c>
      <c r="C429" s="21" t="n">
        <f aca="false">CODE(RIGHT(B429,1))</f>
        <v>29</v>
      </c>
      <c r="D429" s="14" t="str">
        <f aca="false">CLEAN(B429)</f>
        <v>///PR:Books__SP:Alice2017102 $547   </v>
      </c>
      <c r="E429" s="21" t="n">
        <f aca="false">CODE(RIGHT(D429,1))</f>
        <v>32</v>
      </c>
      <c r="F429" s="14" t="str">
        <f aca="false">SUBSTITUTE(D429,_xlfn.UNICHAR(160)," ")</f>
        <v>///PR:Books__SP:Alice2017102 $547   </v>
      </c>
      <c r="G429" s="14" t="str">
        <f aca="false">SUBSTITUTE(F429,"/","")</f>
        <v>PR:Books__SP:Alice2017102 $547   </v>
      </c>
      <c r="H429" s="14" t="str">
        <f aca="false">SUBSTITUTE(G429,"_"," ")</f>
        <v>PR:Books  SP:Alice2017102 $547   </v>
      </c>
      <c r="I429" s="14" t="str">
        <f aca="false">TRIM(H429)</f>
        <v>PR:Books SP:Alice2017102 $547</v>
      </c>
      <c r="J429" s="21" t="n">
        <f aca="false">LEN(I429)</f>
        <v>29</v>
      </c>
      <c r="K429" s="21" t="n">
        <f aca="false">CODE(RIGHT(I429,1))</f>
        <v>55</v>
      </c>
      <c r="L429" s="14" t="str">
        <f aca="false">SUBSTITUTE(I429,"PR:","")</f>
        <v>Books SP:Alice2017102 $547</v>
      </c>
      <c r="M429" s="14" t="str">
        <f aca="false">SUBSTITUTE(L429,"SP:","")</f>
        <v>Books Alice2017102 $547</v>
      </c>
      <c r="N429" s="15" t="str">
        <f aca="false">SUBSTITUTE(M429,"201710"," 201710")</f>
        <v>Books Alice 2017102 $547</v>
      </c>
      <c r="O429" s="21" t="n">
        <f aca="false">FIND(" ",N429)</f>
        <v>6</v>
      </c>
      <c r="P429" s="21" t="n">
        <f aca="false">FIND(" ",N429,O429+1)</f>
        <v>12</v>
      </c>
      <c r="Q429" s="21" t="n">
        <f aca="false">FIND(" ",N429,P429+1)</f>
        <v>20</v>
      </c>
      <c r="R429" s="26" t="str">
        <f aca="false">LEFT(N429,O429-1)</f>
        <v>Books</v>
      </c>
      <c r="S429" s="26" t="str">
        <f aca="false">MID(N429,O429+1,P429-O429-1)</f>
        <v>Alice</v>
      </c>
      <c r="T429" s="26" t="str">
        <f aca="false">MID(N429,P429+1,Q429-P429-1)</f>
        <v>2017102</v>
      </c>
      <c r="U429" s="26" t="n">
        <f aca="false">VALUE(MID(N429,Q429+2,90))</f>
        <v>547</v>
      </c>
      <c r="V429" s="27" t="n">
        <f aca="false">DATE(2017,10,MID(T429,7,2))</f>
        <v>43010</v>
      </c>
    </row>
    <row r="430" customFormat="false" ht="14.25" hidden="false" customHeight="false" outlineLevel="0" collapsed="false">
      <c r="A430" s="23" t="n">
        <f aca="false">A429+1</f>
        <v>426</v>
      </c>
      <c r="B430" s="14" t="s">
        <v>444</v>
      </c>
      <c r="C430" s="21" t="n">
        <f aca="false">CODE(RIGHT(B430,1))</f>
        <v>31</v>
      </c>
      <c r="D430" s="14" t="str">
        <f aca="false">CLEAN(B430)</f>
        <v>///PR:Clothing__SP:David2017103 $1671 </v>
      </c>
      <c r="E430" s="21" t="n">
        <f aca="false">CODE(RIGHT(D430,1))</f>
        <v>32</v>
      </c>
      <c r="F430" s="14" t="str">
        <f aca="false">SUBSTITUTE(D430,_xlfn.UNICHAR(160)," ")</f>
        <v>///PR:Clothing__SP:David2017103 $1671 </v>
      </c>
      <c r="G430" s="14" t="str">
        <f aca="false">SUBSTITUTE(F430,"/","")</f>
        <v>PR:Clothing__SP:David2017103 $1671 </v>
      </c>
      <c r="H430" s="14" t="str">
        <f aca="false">SUBSTITUTE(G430,"_"," ")</f>
        <v>PR:Clothing  SP:David2017103 $1671 </v>
      </c>
      <c r="I430" s="14" t="str">
        <f aca="false">TRIM(H430)</f>
        <v>PR:Clothing SP:David2017103 $1671</v>
      </c>
      <c r="J430" s="21" t="n">
        <f aca="false">LEN(I430)</f>
        <v>33</v>
      </c>
      <c r="K430" s="21" t="n">
        <f aca="false">CODE(RIGHT(I430,1))</f>
        <v>49</v>
      </c>
      <c r="L430" s="14" t="str">
        <f aca="false">SUBSTITUTE(I430,"PR:","")</f>
        <v>Clothing SP:David2017103 $1671</v>
      </c>
      <c r="M430" s="14" t="str">
        <f aca="false">SUBSTITUTE(L430,"SP:","")</f>
        <v>Clothing David2017103 $1671</v>
      </c>
      <c r="N430" s="15" t="str">
        <f aca="false">SUBSTITUTE(M430,"201710"," 201710")</f>
        <v>Clothing David 2017103 $1671</v>
      </c>
      <c r="O430" s="21" t="n">
        <f aca="false">FIND(" ",N430)</f>
        <v>9</v>
      </c>
      <c r="P430" s="21" t="n">
        <f aca="false">FIND(" ",N430,O430+1)</f>
        <v>15</v>
      </c>
      <c r="Q430" s="21" t="n">
        <f aca="false">FIND(" ",N430,P430+1)</f>
        <v>23</v>
      </c>
      <c r="R430" s="26" t="str">
        <f aca="false">LEFT(N430,O430-1)</f>
        <v>Clothing</v>
      </c>
      <c r="S430" s="26" t="str">
        <f aca="false">MID(N430,O430+1,P430-O430-1)</f>
        <v>David</v>
      </c>
      <c r="T430" s="26" t="str">
        <f aca="false">MID(N430,P430+1,Q430-P430-1)</f>
        <v>2017103</v>
      </c>
      <c r="U430" s="26" t="n">
        <f aca="false">VALUE(MID(N430,Q430+2,90))</f>
        <v>1671</v>
      </c>
      <c r="V430" s="27" t="n">
        <f aca="false">DATE(2017,10,MID(T430,7,2))</f>
        <v>43011</v>
      </c>
    </row>
    <row r="431" customFormat="false" ht="14.25" hidden="false" customHeight="false" outlineLevel="0" collapsed="false">
      <c r="A431" s="23" t="n">
        <f aca="false">A430+1</f>
        <v>427</v>
      </c>
      <c r="B431" s="14" t="s">
        <v>445</v>
      </c>
      <c r="C431" s="21" t="n">
        <f aca="false">CODE(RIGHT(B431,1))</f>
        <v>28</v>
      </c>
      <c r="D431" s="14" t="str">
        <f aca="false">CLEAN(B431)</f>
        <v>/////PR:Music__SP:Carol2017102    $1007     </v>
      </c>
      <c r="E431" s="21" t="n">
        <f aca="false">CODE(RIGHT(D431,1))</f>
        <v>32</v>
      </c>
      <c r="F431" s="14" t="str">
        <f aca="false">SUBSTITUTE(D431,_xlfn.UNICHAR(160)," ")</f>
        <v>/////PR:Music__SP:Carol2017102    $1007     </v>
      </c>
      <c r="G431" s="14" t="str">
        <f aca="false">SUBSTITUTE(F431,"/","")</f>
        <v>PR:Music__SP:Carol2017102    $1007     </v>
      </c>
      <c r="H431" s="14" t="str">
        <f aca="false">SUBSTITUTE(G431,"_"," ")</f>
        <v>PR:Music  SP:Carol2017102    $1007     </v>
      </c>
      <c r="I431" s="14" t="str">
        <f aca="false">TRIM(H431)</f>
        <v>PR:Music SP:Carol2017102 $1007</v>
      </c>
      <c r="J431" s="21" t="n">
        <f aca="false">LEN(I431)</f>
        <v>30</v>
      </c>
      <c r="K431" s="21" t="n">
        <f aca="false">CODE(RIGHT(I431,1))</f>
        <v>55</v>
      </c>
      <c r="L431" s="14" t="str">
        <f aca="false">SUBSTITUTE(I431,"PR:","")</f>
        <v>Music SP:Carol2017102 $1007</v>
      </c>
      <c r="M431" s="14" t="str">
        <f aca="false">SUBSTITUTE(L431,"SP:","")</f>
        <v>Music Carol2017102 $1007</v>
      </c>
      <c r="N431" s="15" t="str">
        <f aca="false">SUBSTITUTE(M431,"201710"," 201710")</f>
        <v>Music Carol 2017102 $1007</v>
      </c>
      <c r="O431" s="21" t="n">
        <f aca="false">FIND(" ",N431)</f>
        <v>6</v>
      </c>
      <c r="P431" s="21" t="n">
        <f aca="false">FIND(" ",N431,O431+1)</f>
        <v>12</v>
      </c>
      <c r="Q431" s="21" t="n">
        <f aca="false">FIND(" ",N431,P431+1)</f>
        <v>20</v>
      </c>
      <c r="R431" s="26" t="str">
        <f aca="false">LEFT(N431,O431-1)</f>
        <v>Music</v>
      </c>
      <c r="S431" s="26" t="str">
        <f aca="false">MID(N431,O431+1,P431-O431-1)</f>
        <v>Carol</v>
      </c>
      <c r="T431" s="26" t="str">
        <f aca="false">MID(N431,P431+1,Q431-P431-1)</f>
        <v>2017102</v>
      </c>
      <c r="U431" s="26" t="n">
        <f aca="false">VALUE(MID(N431,Q431+2,90))</f>
        <v>1007</v>
      </c>
      <c r="V431" s="27" t="n">
        <f aca="false">DATE(2017,10,MID(T431,7,2))</f>
        <v>43010</v>
      </c>
    </row>
    <row r="432" customFormat="false" ht="14.25" hidden="false" customHeight="false" outlineLevel="0" collapsed="false">
      <c r="A432" s="23" t="n">
        <f aca="false">A431+1</f>
        <v>428</v>
      </c>
      <c r="B432" s="14" t="s">
        <v>446</v>
      </c>
      <c r="C432" s="21" t="n">
        <f aca="false">CODE(RIGHT(B432,1))</f>
        <v>30</v>
      </c>
      <c r="D432" s="14" t="str">
        <f aca="false">CLEAN(B432)</f>
        <v>///PR:Music__SP:Barney20171018   $1347  </v>
      </c>
      <c r="E432" s="21" t="n">
        <f aca="false">CODE(RIGHT(D432,1))</f>
        <v>32</v>
      </c>
      <c r="F432" s="14" t="str">
        <f aca="false">SUBSTITUTE(D432,_xlfn.UNICHAR(160)," ")</f>
        <v>///PR:Music__SP:Barney20171018   $1347  </v>
      </c>
      <c r="G432" s="14" t="str">
        <f aca="false">SUBSTITUTE(F432,"/","")</f>
        <v>PR:Music__SP:Barney20171018   $1347  </v>
      </c>
      <c r="H432" s="14" t="str">
        <f aca="false">SUBSTITUTE(G432,"_"," ")</f>
        <v>PR:Music  SP:Barney20171018   $1347  </v>
      </c>
      <c r="I432" s="14" t="str">
        <f aca="false">TRIM(H432)</f>
        <v>PR:Music SP:Barney20171018 $1347</v>
      </c>
      <c r="J432" s="21" t="n">
        <f aca="false">LEN(I432)</f>
        <v>32</v>
      </c>
      <c r="K432" s="21" t="n">
        <f aca="false">CODE(RIGHT(I432,1))</f>
        <v>55</v>
      </c>
      <c r="L432" s="14" t="str">
        <f aca="false">SUBSTITUTE(I432,"PR:","")</f>
        <v>Music SP:Barney20171018 $1347</v>
      </c>
      <c r="M432" s="14" t="str">
        <f aca="false">SUBSTITUTE(L432,"SP:","")</f>
        <v>Music Barney20171018 $1347</v>
      </c>
      <c r="N432" s="15" t="str">
        <f aca="false">SUBSTITUTE(M432,"201710"," 201710")</f>
        <v>Music Barney 20171018 $1347</v>
      </c>
      <c r="O432" s="21" t="n">
        <f aca="false">FIND(" ",N432)</f>
        <v>6</v>
      </c>
      <c r="P432" s="21" t="n">
        <f aca="false">FIND(" ",N432,O432+1)</f>
        <v>13</v>
      </c>
      <c r="Q432" s="21" t="n">
        <f aca="false">FIND(" ",N432,P432+1)</f>
        <v>22</v>
      </c>
      <c r="R432" s="26" t="str">
        <f aca="false">LEFT(N432,O432-1)</f>
        <v>Music</v>
      </c>
      <c r="S432" s="26" t="str">
        <f aca="false">MID(N432,O432+1,P432-O432-1)</f>
        <v>Barney</v>
      </c>
      <c r="T432" s="26" t="str">
        <f aca="false">MID(N432,P432+1,Q432-P432-1)</f>
        <v>20171018</v>
      </c>
      <c r="U432" s="26" t="n">
        <f aca="false">VALUE(MID(N432,Q432+2,90))</f>
        <v>1347</v>
      </c>
      <c r="V432" s="27" t="n">
        <f aca="false">DATE(2017,10,MID(T432,7,2))</f>
        <v>43026</v>
      </c>
    </row>
    <row r="433" customFormat="false" ht="14.25" hidden="false" customHeight="false" outlineLevel="0" collapsed="false">
      <c r="A433" s="23" t="n">
        <f aca="false">A432+1</f>
        <v>429</v>
      </c>
      <c r="B433" s="14" t="s">
        <v>447</v>
      </c>
      <c r="C433" s="21" t="n">
        <f aca="false">CODE(RIGHT(B433,1))</f>
        <v>30</v>
      </c>
      <c r="D433" s="14" t="str">
        <f aca="false">CLEAN(B433)</f>
        <v>//PR:Clothing_____SP:Carol20171027     $0  </v>
      </c>
      <c r="E433" s="21" t="n">
        <f aca="false">CODE(RIGHT(D433,1))</f>
        <v>32</v>
      </c>
      <c r="F433" s="14" t="str">
        <f aca="false">SUBSTITUTE(D433,_xlfn.UNICHAR(160)," ")</f>
        <v>//PR:Clothing_____SP:Carol20171027     $0  </v>
      </c>
      <c r="G433" s="14" t="str">
        <f aca="false">SUBSTITUTE(F433,"/","")</f>
        <v>PR:Clothing_____SP:Carol20171027     $0  </v>
      </c>
      <c r="H433" s="14" t="str">
        <f aca="false">SUBSTITUTE(G433,"_"," ")</f>
        <v>PR:Clothing     SP:Carol20171027     $0  </v>
      </c>
      <c r="I433" s="14" t="str">
        <f aca="false">TRIM(H433)</f>
        <v>PR:Clothing SP:Carol20171027 $0</v>
      </c>
      <c r="J433" s="21" t="n">
        <f aca="false">LEN(I433)</f>
        <v>31</v>
      </c>
      <c r="K433" s="21" t="n">
        <f aca="false">CODE(RIGHT(I433,1))</f>
        <v>48</v>
      </c>
      <c r="L433" s="14" t="str">
        <f aca="false">SUBSTITUTE(I433,"PR:","")</f>
        <v>Clothing SP:Carol20171027 $0</v>
      </c>
      <c r="M433" s="14" t="str">
        <f aca="false">SUBSTITUTE(L433,"SP:","")</f>
        <v>Clothing Carol20171027 $0</v>
      </c>
      <c r="N433" s="15" t="str">
        <f aca="false">SUBSTITUTE(M433,"201710"," 201710")</f>
        <v>Clothing Carol 20171027 $0</v>
      </c>
      <c r="O433" s="21" t="n">
        <f aca="false">FIND(" ",N433)</f>
        <v>9</v>
      </c>
      <c r="P433" s="21" t="n">
        <f aca="false">FIND(" ",N433,O433+1)</f>
        <v>15</v>
      </c>
      <c r="Q433" s="21" t="n">
        <f aca="false">FIND(" ",N433,P433+1)</f>
        <v>24</v>
      </c>
      <c r="R433" s="26" t="str">
        <f aca="false">LEFT(N433,O433-1)</f>
        <v>Clothing</v>
      </c>
      <c r="S433" s="26" t="str">
        <f aca="false">MID(N433,O433+1,P433-O433-1)</f>
        <v>Carol</v>
      </c>
      <c r="T433" s="26" t="str">
        <f aca="false">MID(N433,P433+1,Q433-P433-1)</f>
        <v>20171027</v>
      </c>
      <c r="U433" s="26" t="n">
        <f aca="false">VALUE(MID(N433,Q433+2,90))</f>
        <v>0</v>
      </c>
      <c r="V433" s="27" t="n">
        <f aca="false">DATE(2017,10,MID(T433,7,2))</f>
        <v>43035</v>
      </c>
    </row>
    <row r="434" customFormat="false" ht="14.25" hidden="false" customHeight="false" outlineLevel="0" collapsed="false">
      <c r="A434" s="23" t="n">
        <f aca="false">A433+1</f>
        <v>430</v>
      </c>
      <c r="B434" s="14" t="s">
        <v>448</v>
      </c>
      <c r="C434" s="21" t="n">
        <f aca="false">CODE(RIGHT(B434,1))</f>
        <v>31</v>
      </c>
      <c r="D434" s="14" t="str">
        <f aca="false">CLEAN(B434)</f>
        <v>////PR:Music__SP:David2017101     $1396     </v>
      </c>
      <c r="E434" s="21" t="n">
        <f aca="false">CODE(RIGHT(D434,1))</f>
        <v>32</v>
      </c>
      <c r="F434" s="14" t="str">
        <f aca="false">SUBSTITUTE(D434,_xlfn.UNICHAR(160)," ")</f>
        <v>////PR:Music__SP:David2017101     $1396     </v>
      </c>
      <c r="G434" s="14" t="str">
        <f aca="false">SUBSTITUTE(F434,"/","")</f>
        <v>PR:Music__SP:David2017101     $1396     </v>
      </c>
      <c r="H434" s="14" t="str">
        <f aca="false">SUBSTITUTE(G434,"_"," ")</f>
        <v>PR:Music  SP:David2017101     $1396     </v>
      </c>
      <c r="I434" s="14" t="str">
        <f aca="false">TRIM(H434)</f>
        <v>PR:Music SP:David2017101 $1396</v>
      </c>
      <c r="J434" s="21" t="n">
        <f aca="false">LEN(I434)</f>
        <v>30</v>
      </c>
      <c r="K434" s="21" t="n">
        <f aca="false">CODE(RIGHT(I434,1))</f>
        <v>54</v>
      </c>
      <c r="L434" s="14" t="str">
        <f aca="false">SUBSTITUTE(I434,"PR:","")</f>
        <v>Music SP:David2017101 $1396</v>
      </c>
      <c r="M434" s="14" t="str">
        <f aca="false">SUBSTITUTE(L434,"SP:","")</f>
        <v>Music David2017101 $1396</v>
      </c>
      <c r="N434" s="15" t="str">
        <f aca="false">SUBSTITUTE(M434,"201710"," 201710")</f>
        <v>Music David 2017101 $1396</v>
      </c>
      <c r="O434" s="21" t="n">
        <f aca="false">FIND(" ",N434)</f>
        <v>6</v>
      </c>
      <c r="P434" s="21" t="n">
        <f aca="false">FIND(" ",N434,O434+1)</f>
        <v>12</v>
      </c>
      <c r="Q434" s="21" t="n">
        <f aca="false">FIND(" ",N434,P434+1)</f>
        <v>20</v>
      </c>
      <c r="R434" s="26" t="str">
        <f aca="false">LEFT(N434,O434-1)</f>
        <v>Music</v>
      </c>
      <c r="S434" s="26" t="str">
        <f aca="false">MID(N434,O434+1,P434-O434-1)</f>
        <v>David</v>
      </c>
      <c r="T434" s="26" t="str">
        <f aca="false">MID(N434,P434+1,Q434-P434-1)</f>
        <v>2017101</v>
      </c>
      <c r="U434" s="26" t="n">
        <f aca="false">VALUE(MID(N434,Q434+2,90))</f>
        <v>1396</v>
      </c>
      <c r="V434" s="27" t="n">
        <f aca="false">DATE(2017,10,MID(T434,7,2))</f>
        <v>43009</v>
      </c>
    </row>
    <row r="435" customFormat="false" ht="14.25" hidden="false" customHeight="false" outlineLevel="0" collapsed="false">
      <c r="A435" s="23" t="n">
        <f aca="false">A434+1</f>
        <v>431</v>
      </c>
      <c r="B435" s="14" t="s">
        <v>449</v>
      </c>
      <c r="C435" s="21" t="n">
        <f aca="false">CODE(RIGHT(B435,1))</f>
        <v>28</v>
      </c>
      <c r="D435" s="14" t="str">
        <f aca="false">CLEAN(B435)</f>
        <v>/PR:Music____SP:Alice20171023    $1212 </v>
      </c>
      <c r="E435" s="21" t="n">
        <f aca="false">CODE(RIGHT(D435,1))</f>
        <v>32</v>
      </c>
      <c r="F435" s="14" t="str">
        <f aca="false">SUBSTITUTE(D435,_xlfn.UNICHAR(160)," ")</f>
        <v>/PR:Music____SP:Alice20171023    $1212 </v>
      </c>
      <c r="G435" s="14" t="str">
        <f aca="false">SUBSTITUTE(F435,"/","")</f>
        <v>PR:Music____SP:Alice20171023    $1212 </v>
      </c>
      <c r="H435" s="14" t="str">
        <f aca="false">SUBSTITUTE(G435,"_"," ")</f>
        <v>PR:Music    SP:Alice20171023    $1212 </v>
      </c>
      <c r="I435" s="14" t="str">
        <f aca="false">TRIM(H435)</f>
        <v>PR:Music SP:Alice20171023 $1212</v>
      </c>
      <c r="J435" s="21" t="n">
        <f aca="false">LEN(I435)</f>
        <v>31</v>
      </c>
      <c r="K435" s="21" t="n">
        <f aca="false">CODE(RIGHT(I435,1))</f>
        <v>50</v>
      </c>
      <c r="L435" s="14" t="str">
        <f aca="false">SUBSTITUTE(I435,"PR:","")</f>
        <v>Music SP:Alice20171023 $1212</v>
      </c>
      <c r="M435" s="14" t="str">
        <f aca="false">SUBSTITUTE(L435,"SP:","")</f>
        <v>Music Alice20171023 $1212</v>
      </c>
      <c r="N435" s="15" t="str">
        <f aca="false">SUBSTITUTE(M435,"201710"," 201710")</f>
        <v>Music Alice 20171023 $1212</v>
      </c>
      <c r="O435" s="21" t="n">
        <f aca="false">FIND(" ",N435)</f>
        <v>6</v>
      </c>
      <c r="P435" s="21" t="n">
        <f aca="false">FIND(" ",N435,O435+1)</f>
        <v>12</v>
      </c>
      <c r="Q435" s="21" t="n">
        <f aca="false">FIND(" ",N435,P435+1)</f>
        <v>21</v>
      </c>
      <c r="R435" s="26" t="str">
        <f aca="false">LEFT(N435,O435-1)</f>
        <v>Music</v>
      </c>
      <c r="S435" s="26" t="str">
        <f aca="false">MID(N435,O435+1,P435-O435-1)</f>
        <v>Alice</v>
      </c>
      <c r="T435" s="26" t="str">
        <f aca="false">MID(N435,P435+1,Q435-P435-1)</f>
        <v>20171023</v>
      </c>
      <c r="U435" s="26" t="n">
        <f aca="false">VALUE(MID(N435,Q435+2,90))</f>
        <v>1212</v>
      </c>
      <c r="V435" s="27" t="n">
        <f aca="false">DATE(2017,10,MID(T435,7,2))</f>
        <v>43031</v>
      </c>
    </row>
    <row r="436" customFormat="false" ht="14.25" hidden="false" customHeight="false" outlineLevel="0" collapsed="false">
      <c r="A436" s="23" t="n">
        <f aca="false">A435+1</f>
        <v>432</v>
      </c>
      <c r="B436" s="14" t="s">
        <v>450</v>
      </c>
      <c r="C436" s="21" t="n">
        <f aca="false">CODE(RIGHT(B436,1))</f>
        <v>29</v>
      </c>
      <c r="D436" s="14" t="str">
        <f aca="false">CLEAN(B436)</f>
        <v>/PR:Books__SP:Alice20171025 $0 </v>
      </c>
      <c r="E436" s="21" t="n">
        <f aca="false">CODE(RIGHT(D436,1))</f>
        <v>32</v>
      </c>
      <c r="F436" s="14" t="str">
        <f aca="false">SUBSTITUTE(D436,_xlfn.UNICHAR(160)," ")</f>
        <v>/PR:Books__SP:Alice20171025 $0 </v>
      </c>
      <c r="G436" s="14" t="str">
        <f aca="false">SUBSTITUTE(F436,"/","")</f>
        <v>PR:Books__SP:Alice20171025 $0 </v>
      </c>
      <c r="H436" s="14" t="str">
        <f aca="false">SUBSTITUTE(G436,"_"," ")</f>
        <v>PR:Books  SP:Alice20171025 $0 </v>
      </c>
      <c r="I436" s="14" t="str">
        <f aca="false">TRIM(H436)</f>
        <v>PR:Books SP:Alice20171025 $0</v>
      </c>
      <c r="J436" s="21" t="n">
        <f aca="false">LEN(I436)</f>
        <v>28</v>
      </c>
      <c r="K436" s="21" t="n">
        <f aca="false">CODE(RIGHT(I436,1))</f>
        <v>48</v>
      </c>
      <c r="L436" s="14" t="str">
        <f aca="false">SUBSTITUTE(I436,"PR:","")</f>
        <v>Books SP:Alice20171025 $0</v>
      </c>
      <c r="M436" s="14" t="str">
        <f aca="false">SUBSTITUTE(L436,"SP:","")</f>
        <v>Books Alice20171025 $0</v>
      </c>
      <c r="N436" s="15" t="str">
        <f aca="false">SUBSTITUTE(M436,"201710"," 201710")</f>
        <v>Books Alice 20171025 $0</v>
      </c>
      <c r="O436" s="21" t="n">
        <f aca="false">FIND(" ",N436)</f>
        <v>6</v>
      </c>
      <c r="P436" s="21" t="n">
        <f aca="false">FIND(" ",N436,O436+1)</f>
        <v>12</v>
      </c>
      <c r="Q436" s="21" t="n">
        <f aca="false">FIND(" ",N436,P436+1)</f>
        <v>21</v>
      </c>
      <c r="R436" s="26" t="str">
        <f aca="false">LEFT(N436,O436-1)</f>
        <v>Books</v>
      </c>
      <c r="S436" s="26" t="str">
        <f aca="false">MID(N436,O436+1,P436-O436-1)</f>
        <v>Alice</v>
      </c>
      <c r="T436" s="26" t="str">
        <f aca="false">MID(N436,P436+1,Q436-P436-1)</f>
        <v>20171025</v>
      </c>
      <c r="U436" s="26" t="n">
        <f aca="false">VALUE(MID(N436,Q436+2,90))</f>
        <v>0</v>
      </c>
      <c r="V436" s="27" t="n">
        <f aca="false">DATE(2017,10,MID(T436,7,2))</f>
        <v>43033</v>
      </c>
    </row>
    <row r="437" customFormat="false" ht="14.25" hidden="false" customHeight="false" outlineLevel="0" collapsed="false">
      <c r="A437" s="23" t="n">
        <f aca="false">A436+1</f>
        <v>433</v>
      </c>
      <c r="B437" s="14" t="s">
        <v>451</v>
      </c>
      <c r="C437" s="21" t="n">
        <f aca="false">CODE(RIGHT(B437,1))</f>
        <v>31</v>
      </c>
      <c r="D437" s="14" t="str">
        <f aca="false">CLEAN(B437)</f>
        <v>///PR:Books_____SP:Barney20171017 $726     </v>
      </c>
      <c r="E437" s="21" t="n">
        <f aca="false">CODE(RIGHT(D437,1))</f>
        <v>32</v>
      </c>
      <c r="F437" s="14" t="str">
        <f aca="false">SUBSTITUTE(D437,_xlfn.UNICHAR(160)," ")</f>
        <v>///PR:Books_____SP:Barney20171017 $726     </v>
      </c>
      <c r="G437" s="14" t="str">
        <f aca="false">SUBSTITUTE(F437,"/","")</f>
        <v>PR:Books_____SP:Barney20171017 $726     </v>
      </c>
      <c r="H437" s="14" t="str">
        <f aca="false">SUBSTITUTE(G437,"_"," ")</f>
        <v>PR:Books     SP:Barney20171017 $726     </v>
      </c>
      <c r="I437" s="14" t="str">
        <f aca="false">TRIM(H437)</f>
        <v>PR:Books SP:Barney20171017 $726</v>
      </c>
      <c r="J437" s="21" t="n">
        <f aca="false">LEN(I437)</f>
        <v>31</v>
      </c>
      <c r="K437" s="21" t="n">
        <f aca="false">CODE(RIGHT(I437,1))</f>
        <v>54</v>
      </c>
      <c r="L437" s="14" t="str">
        <f aca="false">SUBSTITUTE(I437,"PR:","")</f>
        <v>Books SP:Barney20171017 $726</v>
      </c>
      <c r="M437" s="14" t="str">
        <f aca="false">SUBSTITUTE(L437,"SP:","")</f>
        <v>Books Barney20171017 $726</v>
      </c>
      <c r="N437" s="15" t="str">
        <f aca="false">SUBSTITUTE(M437,"201710"," 201710")</f>
        <v>Books Barney 20171017 $726</v>
      </c>
      <c r="O437" s="21" t="n">
        <f aca="false">FIND(" ",N437)</f>
        <v>6</v>
      </c>
      <c r="P437" s="21" t="n">
        <f aca="false">FIND(" ",N437,O437+1)</f>
        <v>13</v>
      </c>
      <c r="Q437" s="21" t="n">
        <f aca="false">FIND(" ",N437,P437+1)</f>
        <v>22</v>
      </c>
      <c r="R437" s="26" t="str">
        <f aca="false">LEFT(N437,O437-1)</f>
        <v>Books</v>
      </c>
      <c r="S437" s="26" t="str">
        <f aca="false">MID(N437,O437+1,P437-O437-1)</f>
        <v>Barney</v>
      </c>
      <c r="T437" s="26" t="str">
        <f aca="false">MID(N437,P437+1,Q437-P437-1)</f>
        <v>20171017</v>
      </c>
      <c r="U437" s="26" t="n">
        <f aca="false">VALUE(MID(N437,Q437+2,90))</f>
        <v>726</v>
      </c>
      <c r="V437" s="27" t="n">
        <f aca="false">DATE(2017,10,MID(T437,7,2))</f>
        <v>43025</v>
      </c>
    </row>
    <row r="438" customFormat="false" ht="14.25" hidden="false" customHeight="false" outlineLevel="0" collapsed="false">
      <c r="A438" s="23" t="n">
        <f aca="false">A437+1</f>
        <v>434</v>
      </c>
      <c r="B438" s="14" t="s">
        <v>452</v>
      </c>
      <c r="C438" s="21" t="n">
        <f aca="false">CODE(RIGHT(B438,1))</f>
        <v>31</v>
      </c>
      <c r="D438" s="14" t="str">
        <f aca="false">CLEAN(B438)</f>
        <v>/PR:Games___SP:David20171023    $0  </v>
      </c>
      <c r="E438" s="21" t="n">
        <f aca="false">CODE(RIGHT(D438,1))</f>
        <v>32</v>
      </c>
      <c r="F438" s="14" t="str">
        <f aca="false">SUBSTITUTE(D438,_xlfn.UNICHAR(160)," ")</f>
        <v>/PR:Games___SP:David20171023    $0  </v>
      </c>
      <c r="G438" s="14" t="str">
        <f aca="false">SUBSTITUTE(F438,"/","")</f>
        <v>PR:Games___SP:David20171023    $0  </v>
      </c>
      <c r="H438" s="14" t="str">
        <f aca="false">SUBSTITUTE(G438,"_"," ")</f>
        <v>PR:Games   SP:David20171023    $0  </v>
      </c>
      <c r="I438" s="14" t="str">
        <f aca="false">TRIM(H438)</f>
        <v>PR:Games SP:David20171023 $0</v>
      </c>
      <c r="J438" s="21" t="n">
        <f aca="false">LEN(I438)</f>
        <v>28</v>
      </c>
      <c r="K438" s="21" t="n">
        <f aca="false">CODE(RIGHT(I438,1))</f>
        <v>48</v>
      </c>
      <c r="L438" s="14" t="str">
        <f aca="false">SUBSTITUTE(I438,"PR:","")</f>
        <v>Games SP:David20171023 $0</v>
      </c>
      <c r="M438" s="14" t="str">
        <f aca="false">SUBSTITUTE(L438,"SP:","")</f>
        <v>Games David20171023 $0</v>
      </c>
      <c r="N438" s="15" t="str">
        <f aca="false">SUBSTITUTE(M438,"201710"," 201710")</f>
        <v>Games David 20171023 $0</v>
      </c>
      <c r="O438" s="21" t="n">
        <f aca="false">FIND(" ",N438)</f>
        <v>6</v>
      </c>
      <c r="P438" s="21" t="n">
        <f aca="false">FIND(" ",N438,O438+1)</f>
        <v>12</v>
      </c>
      <c r="Q438" s="21" t="n">
        <f aca="false">FIND(" ",N438,P438+1)</f>
        <v>21</v>
      </c>
      <c r="R438" s="26" t="str">
        <f aca="false">LEFT(N438,O438-1)</f>
        <v>Games</v>
      </c>
      <c r="S438" s="26" t="str">
        <f aca="false">MID(N438,O438+1,P438-O438-1)</f>
        <v>David</v>
      </c>
      <c r="T438" s="26" t="str">
        <f aca="false">MID(N438,P438+1,Q438-P438-1)</f>
        <v>20171023</v>
      </c>
      <c r="U438" s="26" t="n">
        <f aca="false">VALUE(MID(N438,Q438+2,90))</f>
        <v>0</v>
      </c>
      <c r="V438" s="27" t="n">
        <f aca="false">DATE(2017,10,MID(T438,7,2))</f>
        <v>43031</v>
      </c>
    </row>
    <row r="439" customFormat="false" ht="14.25" hidden="false" customHeight="false" outlineLevel="0" collapsed="false">
      <c r="A439" s="23" t="n">
        <f aca="false">A438+1</f>
        <v>435</v>
      </c>
      <c r="B439" s="14" t="s">
        <v>453</v>
      </c>
      <c r="C439" s="21" t="n">
        <f aca="false">CODE(RIGHT(B439,1))</f>
        <v>28</v>
      </c>
      <c r="D439" s="14" t="str">
        <f aca="false">CLEAN(B439)</f>
        <v>/PR:Music_____SP:Carol2017107  $0    </v>
      </c>
      <c r="E439" s="21" t="n">
        <f aca="false">CODE(RIGHT(D439,1))</f>
        <v>32</v>
      </c>
      <c r="F439" s="14" t="str">
        <f aca="false">SUBSTITUTE(D439,_xlfn.UNICHAR(160)," ")</f>
        <v>/PR:Music_____SP:Carol2017107  $0    </v>
      </c>
      <c r="G439" s="14" t="str">
        <f aca="false">SUBSTITUTE(F439,"/","")</f>
        <v>PR:Music_____SP:Carol2017107  $0    </v>
      </c>
      <c r="H439" s="14" t="str">
        <f aca="false">SUBSTITUTE(G439,"_"," ")</f>
        <v>PR:Music     SP:Carol2017107  $0    </v>
      </c>
      <c r="I439" s="14" t="str">
        <f aca="false">TRIM(H439)</f>
        <v>PR:Music SP:Carol2017107 $0</v>
      </c>
      <c r="J439" s="21" t="n">
        <f aca="false">LEN(I439)</f>
        <v>27</v>
      </c>
      <c r="K439" s="21" t="n">
        <f aca="false">CODE(RIGHT(I439,1))</f>
        <v>48</v>
      </c>
      <c r="L439" s="14" t="str">
        <f aca="false">SUBSTITUTE(I439,"PR:","")</f>
        <v>Music SP:Carol2017107 $0</v>
      </c>
      <c r="M439" s="14" t="str">
        <f aca="false">SUBSTITUTE(L439,"SP:","")</f>
        <v>Music Carol2017107 $0</v>
      </c>
      <c r="N439" s="15" t="str">
        <f aca="false">SUBSTITUTE(M439,"201710"," 201710")</f>
        <v>Music Carol 2017107 $0</v>
      </c>
      <c r="O439" s="21" t="n">
        <f aca="false">FIND(" ",N439)</f>
        <v>6</v>
      </c>
      <c r="P439" s="21" t="n">
        <f aca="false">FIND(" ",N439,O439+1)</f>
        <v>12</v>
      </c>
      <c r="Q439" s="21" t="n">
        <f aca="false">FIND(" ",N439,P439+1)</f>
        <v>20</v>
      </c>
      <c r="R439" s="26" t="str">
        <f aca="false">LEFT(N439,O439-1)</f>
        <v>Music</v>
      </c>
      <c r="S439" s="26" t="str">
        <f aca="false">MID(N439,O439+1,P439-O439-1)</f>
        <v>Carol</v>
      </c>
      <c r="T439" s="26" t="str">
        <f aca="false">MID(N439,P439+1,Q439-P439-1)</f>
        <v>2017107</v>
      </c>
      <c r="U439" s="26" t="n">
        <f aca="false">VALUE(MID(N439,Q439+2,90))</f>
        <v>0</v>
      </c>
      <c r="V439" s="27" t="n">
        <f aca="false">DATE(2017,10,MID(T439,7,2))</f>
        <v>43015</v>
      </c>
    </row>
    <row r="440" customFormat="false" ht="14.25" hidden="false" customHeight="false" outlineLevel="0" collapsed="false">
      <c r="A440" s="23" t="n">
        <f aca="false">A439+1</f>
        <v>436</v>
      </c>
      <c r="B440" s="14" t="s">
        <v>454</v>
      </c>
      <c r="C440" s="21" t="n">
        <f aca="false">CODE(RIGHT(B440,1))</f>
        <v>31</v>
      </c>
      <c r="D440" s="14" t="str">
        <f aca="false">CLEAN(B440)</f>
        <v>////PR:Books_SP:Carol20171022 $505     </v>
      </c>
      <c r="E440" s="21" t="n">
        <f aca="false">CODE(RIGHT(D440,1))</f>
        <v>32</v>
      </c>
      <c r="F440" s="14" t="str">
        <f aca="false">SUBSTITUTE(D440,_xlfn.UNICHAR(160)," ")</f>
        <v>////PR:Books_SP:Carol20171022 $505     </v>
      </c>
      <c r="G440" s="14" t="str">
        <f aca="false">SUBSTITUTE(F440,"/","")</f>
        <v>PR:Books_SP:Carol20171022 $505     </v>
      </c>
      <c r="H440" s="14" t="str">
        <f aca="false">SUBSTITUTE(G440,"_"," ")</f>
        <v>PR:Books SP:Carol20171022 $505     </v>
      </c>
      <c r="I440" s="14" t="str">
        <f aca="false">TRIM(H440)</f>
        <v>PR:Books SP:Carol20171022 $505</v>
      </c>
      <c r="J440" s="21" t="n">
        <f aca="false">LEN(I440)</f>
        <v>30</v>
      </c>
      <c r="K440" s="21" t="n">
        <f aca="false">CODE(RIGHT(I440,1))</f>
        <v>53</v>
      </c>
      <c r="L440" s="14" t="str">
        <f aca="false">SUBSTITUTE(I440,"PR:","")</f>
        <v>Books SP:Carol20171022 $505</v>
      </c>
      <c r="M440" s="14" t="str">
        <f aca="false">SUBSTITUTE(L440,"SP:","")</f>
        <v>Books Carol20171022 $505</v>
      </c>
      <c r="N440" s="15" t="str">
        <f aca="false">SUBSTITUTE(M440,"201710"," 201710")</f>
        <v>Books Carol 20171022 $505</v>
      </c>
      <c r="O440" s="21" t="n">
        <f aca="false">FIND(" ",N440)</f>
        <v>6</v>
      </c>
      <c r="P440" s="21" t="n">
        <f aca="false">FIND(" ",N440,O440+1)</f>
        <v>12</v>
      </c>
      <c r="Q440" s="21" t="n">
        <f aca="false">FIND(" ",N440,P440+1)</f>
        <v>21</v>
      </c>
      <c r="R440" s="26" t="str">
        <f aca="false">LEFT(N440,O440-1)</f>
        <v>Books</v>
      </c>
      <c r="S440" s="26" t="str">
        <f aca="false">MID(N440,O440+1,P440-O440-1)</f>
        <v>Carol</v>
      </c>
      <c r="T440" s="26" t="str">
        <f aca="false">MID(N440,P440+1,Q440-P440-1)</f>
        <v>20171022</v>
      </c>
      <c r="U440" s="26" t="n">
        <f aca="false">VALUE(MID(N440,Q440+2,90))</f>
        <v>505</v>
      </c>
      <c r="V440" s="27" t="n">
        <f aca="false">DATE(2017,10,MID(T440,7,2))</f>
        <v>43030</v>
      </c>
    </row>
    <row r="441" customFormat="false" ht="14.25" hidden="false" customHeight="false" outlineLevel="0" collapsed="false">
      <c r="A441" s="23" t="n">
        <f aca="false">A440+1</f>
        <v>437</v>
      </c>
      <c r="B441" s="14" t="s">
        <v>455</v>
      </c>
      <c r="C441" s="21" t="n">
        <f aca="false">CODE(RIGHT(B441,1))</f>
        <v>31</v>
      </c>
      <c r="D441" s="14" t="str">
        <f aca="false">CLEAN(B441)</f>
        <v>/PR:Music__SP:Barney20171016    $0 </v>
      </c>
      <c r="E441" s="21" t="n">
        <f aca="false">CODE(RIGHT(D441,1))</f>
        <v>32</v>
      </c>
      <c r="F441" s="14" t="str">
        <f aca="false">SUBSTITUTE(D441,_xlfn.UNICHAR(160)," ")</f>
        <v>/PR:Music__SP:Barney20171016    $0 </v>
      </c>
      <c r="G441" s="14" t="str">
        <f aca="false">SUBSTITUTE(F441,"/","")</f>
        <v>PR:Music__SP:Barney20171016    $0 </v>
      </c>
      <c r="H441" s="14" t="str">
        <f aca="false">SUBSTITUTE(G441,"_"," ")</f>
        <v>PR:Music  SP:Barney20171016    $0 </v>
      </c>
      <c r="I441" s="14" t="str">
        <f aca="false">TRIM(H441)</f>
        <v>PR:Music SP:Barney20171016 $0</v>
      </c>
      <c r="J441" s="21" t="n">
        <f aca="false">LEN(I441)</f>
        <v>29</v>
      </c>
      <c r="K441" s="21" t="n">
        <f aca="false">CODE(RIGHT(I441,1))</f>
        <v>48</v>
      </c>
      <c r="L441" s="14" t="str">
        <f aca="false">SUBSTITUTE(I441,"PR:","")</f>
        <v>Music SP:Barney20171016 $0</v>
      </c>
      <c r="M441" s="14" t="str">
        <f aca="false">SUBSTITUTE(L441,"SP:","")</f>
        <v>Music Barney20171016 $0</v>
      </c>
      <c r="N441" s="15" t="str">
        <f aca="false">SUBSTITUTE(M441,"201710"," 201710")</f>
        <v>Music Barney 20171016 $0</v>
      </c>
      <c r="O441" s="21" t="n">
        <f aca="false">FIND(" ",N441)</f>
        <v>6</v>
      </c>
      <c r="P441" s="21" t="n">
        <f aca="false">FIND(" ",N441,O441+1)</f>
        <v>13</v>
      </c>
      <c r="Q441" s="21" t="n">
        <f aca="false">FIND(" ",N441,P441+1)</f>
        <v>22</v>
      </c>
      <c r="R441" s="26" t="str">
        <f aca="false">LEFT(N441,O441-1)</f>
        <v>Music</v>
      </c>
      <c r="S441" s="26" t="str">
        <f aca="false">MID(N441,O441+1,P441-O441-1)</f>
        <v>Barney</v>
      </c>
      <c r="T441" s="26" t="str">
        <f aca="false">MID(N441,P441+1,Q441-P441-1)</f>
        <v>20171016</v>
      </c>
      <c r="U441" s="26" t="n">
        <f aca="false">VALUE(MID(N441,Q441+2,90))</f>
        <v>0</v>
      </c>
      <c r="V441" s="27" t="n">
        <f aca="false">DATE(2017,10,MID(T441,7,2))</f>
        <v>43024</v>
      </c>
    </row>
    <row r="442" customFormat="false" ht="14.25" hidden="false" customHeight="false" outlineLevel="0" collapsed="false">
      <c r="A442" s="23" t="n">
        <f aca="false">A441+1</f>
        <v>438</v>
      </c>
      <c r="B442" s="14" t="s">
        <v>456</v>
      </c>
      <c r="C442" s="21" t="n">
        <f aca="false">CODE(RIGHT(B442,1))</f>
        <v>31</v>
      </c>
      <c r="D442" s="14" t="str">
        <f aca="false">CLEAN(B442)</f>
        <v>/////PR:Games_SP:Alice2017104     $2364   </v>
      </c>
      <c r="E442" s="21" t="n">
        <f aca="false">CODE(RIGHT(D442,1))</f>
        <v>32</v>
      </c>
      <c r="F442" s="14" t="str">
        <f aca="false">SUBSTITUTE(D442,_xlfn.UNICHAR(160)," ")</f>
        <v>/////PR:Games_SP:Alice2017104     $2364   </v>
      </c>
      <c r="G442" s="14" t="str">
        <f aca="false">SUBSTITUTE(F442,"/","")</f>
        <v>PR:Games_SP:Alice2017104     $2364   </v>
      </c>
      <c r="H442" s="14" t="str">
        <f aca="false">SUBSTITUTE(G442,"_"," ")</f>
        <v>PR:Games SP:Alice2017104     $2364   </v>
      </c>
      <c r="I442" s="14" t="str">
        <f aca="false">TRIM(H442)</f>
        <v>PR:Games SP:Alice2017104 $2364</v>
      </c>
      <c r="J442" s="21" t="n">
        <f aca="false">LEN(I442)</f>
        <v>30</v>
      </c>
      <c r="K442" s="21" t="n">
        <f aca="false">CODE(RIGHT(I442,1))</f>
        <v>52</v>
      </c>
      <c r="L442" s="14" t="str">
        <f aca="false">SUBSTITUTE(I442,"PR:","")</f>
        <v>Games SP:Alice2017104 $2364</v>
      </c>
      <c r="M442" s="14" t="str">
        <f aca="false">SUBSTITUTE(L442,"SP:","")</f>
        <v>Games Alice2017104 $2364</v>
      </c>
      <c r="N442" s="15" t="str">
        <f aca="false">SUBSTITUTE(M442,"201710"," 201710")</f>
        <v>Games Alice 2017104 $2364</v>
      </c>
      <c r="O442" s="21" t="n">
        <f aca="false">FIND(" ",N442)</f>
        <v>6</v>
      </c>
      <c r="P442" s="21" t="n">
        <f aca="false">FIND(" ",N442,O442+1)</f>
        <v>12</v>
      </c>
      <c r="Q442" s="21" t="n">
        <f aca="false">FIND(" ",N442,P442+1)</f>
        <v>20</v>
      </c>
      <c r="R442" s="26" t="str">
        <f aca="false">LEFT(N442,O442-1)</f>
        <v>Games</v>
      </c>
      <c r="S442" s="26" t="str">
        <f aca="false">MID(N442,O442+1,P442-O442-1)</f>
        <v>Alice</v>
      </c>
      <c r="T442" s="26" t="str">
        <f aca="false">MID(N442,P442+1,Q442-P442-1)</f>
        <v>2017104</v>
      </c>
      <c r="U442" s="26" t="n">
        <f aca="false">VALUE(MID(N442,Q442+2,90))</f>
        <v>2364</v>
      </c>
      <c r="V442" s="27" t="n">
        <f aca="false">DATE(2017,10,MID(T442,7,2))</f>
        <v>43012</v>
      </c>
    </row>
    <row r="443" customFormat="false" ht="14.25" hidden="false" customHeight="false" outlineLevel="0" collapsed="false">
      <c r="A443" s="23" t="n">
        <f aca="false">A442+1</f>
        <v>439</v>
      </c>
      <c r="B443" s="14" t="s">
        <v>457</v>
      </c>
      <c r="C443" s="21" t="n">
        <f aca="false">CODE(RIGHT(B443,1))</f>
        <v>30</v>
      </c>
      <c r="D443" s="14" t="str">
        <f aca="false">CLEAN(B443)</f>
        <v>/////PR:Clothing____SP:Barney20171013  $0 </v>
      </c>
      <c r="E443" s="21" t="n">
        <f aca="false">CODE(RIGHT(D443,1))</f>
        <v>32</v>
      </c>
      <c r="F443" s="14" t="str">
        <f aca="false">SUBSTITUTE(D443,_xlfn.UNICHAR(160)," ")</f>
        <v>/////PR:Clothing____SP:Barney20171013  $0 </v>
      </c>
      <c r="G443" s="14" t="str">
        <f aca="false">SUBSTITUTE(F443,"/","")</f>
        <v>PR:Clothing____SP:Barney20171013  $0 </v>
      </c>
      <c r="H443" s="14" t="str">
        <f aca="false">SUBSTITUTE(G443,"_"," ")</f>
        <v>PR:Clothing    SP:Barney20171013  $0 </v>
      </c>
      <c r="I443" s="14" t="str">
        <f aca="false">TRIM(H443)</f>
        <v>PR:Clothing SP:Barney20171013 $0</v>
      </c>
      <c r="J443" s="21" t="n">
        <f aca="false">LEN(I443)</f>
        <v>32</v>
      </c>
      <c r="K443" s="21" t="n">
        <f aca="false">CODE(RIGHT(I443,1))</f>
        <v>48</v>
      </c>
      <c r="L443" s="14" t="str">
        <f aca="false">SUBSTITUTE(I443,"PR:","")</f>
        <v>Clothing SP:Barney20171013 $0</v>
      </c>
      <c r="M443" s="14" t="str">
        <f aca="false">SUBSTITUTE(L443,"SP:","")</f>
        <v>Clothing Barney20171013 $0</v>
      </c>
      <c r="N443" s="15" t="str">
        <f aca="false">SUBSTITUTE(M443,"201710"," 201710")</f>
        <v>Clothing Barney 20171013 $0</v>
      </c>
      <c r="O443" s="21" t="n">
        <f aca="false">FIND(" ",N443)</f>
        <v>9</v>
      </c>
      <c r="P443" s="21" t="n">
        <f aca="false">FIND(" ",N443,O443+1)</f>
        <v>16</v>
      </c>
      <c r="Q443" s="21" t="n">
        <f aca="false">FIND(" ",N443,P443+1)</f>
        <v>25</v>
      </c>
      <c r="R443" s="26" t="str">
        <f aca="false">LEFT(N443,O443-1)</f>
        <v>Clothing</v>
      </c>
      <c r="S443" s="26" t="str">
        <f aca="false">MID(N443,O443+1,P443-O443-1)</f>
        <v>Barney</v>
      </c>
      <c r="T443" s="26" t="str">
        <f aca="false">MID(N443,P443+1,Q443-P443-1)</f>
        <v>20171013</v>
      </c>
      <c r="U443" s="26" t="n">
        <f aca="false">VALUE(MID(N443,Q443+2,90))</f>
        <v>0</v>
      </c>
      <c r="V443" s="27" t="n">
        <f aca="false">DATE(2017,10,MID(T443,7,2))</f>
        <v>43021</v>
      </c>
    </row>
    <row r="444" customFormat="false" ht="14.25" hidden="false" customHeight="false" outlineLevel="0" collapsed="false">
      <c r="A444" s="23" t="n">
        <f aca="false">A443+1</f>
        <v>440</v>
      </c>
      <c r="B444" s="14" t="s">
        <v>458</v>
      </c>
      <c r="C444" s="21" t="n">
        <f aca="false">CODE(RIGHT(B444,1))</f>
        <v>28</v>
      </c>
      <c r="D444" s="14" t="str">
        <f aca="false">CLEAN(B444)</f>
        <v>////PR:Games_____SP:David20171011 $1930  </v>
      </c>
      <c r="E444" s="21" t="n">
        <f aca="false">CODE(RIGHT(D444,1))</f>
        <v>32</v>
      </c>
      <c r="F444" s="14" t="str">
        <f aca="false">SUBSTITUTE(D444,_xlfn.UNICHAR(160)," ")</f>
        <v>////PR:Games_____SP:David20171011 $1930  </v>
      </c>
      <c r="G444" s="14" t="str">
        <f aca="false">SUBSTITUTE(F444,"/","")</f>
        <v>PR:Games_____SP:David20171011 $1930  </v>
      </c>
      <c r="H444" s="14" t="str">
        <f aca="false">SUBSTITUTE(G444,"_"," ")</f>
        <v>PR:Games     SP:David20171011 $1930  </v>
      </c>
      <c r="I444" s="14" t="str">
        <f aca="false">TRIM(H444)</f>
        <v>PR:Games SP:David20171011 $1930</v>
      </c>
      <c r="J444" s="21" t="n">
        <f aca="false">LEN(I444)</f>
        <v>31</v>
      </c>
      <c r="K444" s="21" t="n">
        <f aca="false">CODE(RIGHT(I444,1))</f>
        <v>48</v>
      </c>
      <c r="L444" s="14" t="str">
        <f aca="false">SUBSTITUTE(I444,"PR:","")</f>
        <v>Games SP:David20171011 $1930</v>
      </c>
      <c r="M444" s="14" t="str">
        <f aca="false">SUBSTITUTE(L444,"SP:","")</f>
        <v>Games David20171011 $1930</v>
      </c>
      <c r="N444" s="15" t="str">
        <f aca="false">SUBSTITUTE(M444,"201710"," 201710")</f>
        <v>Games David 20171011 $1930</v>
      </c>
      <c r="O444" s="21" t="n">
        <f aca="false">FIND(" ",N444)</f>
        <v>6</v>
      </c>
      <c r="P444" s="21" t="n">
        <f aca="false">FIND(" ",N444,O444+1)</f>
        <v>12</v>
      </c>
      <c r="Q444" s="21" t="n">
        <f aca="false">FIND(" ",N444,P444+1)</f>
        <v>21</v>
      </c>
      <c r="R444" s="26" t="str">
        <f aca="false">LEFT(N444,O444-1)</f>
        <v>Games</v>
      </c>
      <c r="S444" s="26" t="str">
        <f aca="false">MID(N444,O444+1,P444-O444-1)</f>
        <v>David</v>
      </c>
      <c r="T444" s="26" t="str">
        <f aca="false">MID(N444,P444+1,Q444-P444-1)</f>
        <v>20171011</v>
      </c>
      <c r="U444" s="26" t="n">
        <f aca="false">VALUE(MID(N444,Q444+2,90))</f>
        <v>1930</v>
      </c>
      <c r="V444" s="27" t="n">
        <f aca="false">DATE(2017,10,MID(T444,7,2))</f>
        <v>43019</v>
      </c>
    </row>
    <row r="445" customFormat="false" ht="14.25" hidden="false" customHeight="false" outlineLevel="0" collapsed="false">
      <c r="A445" s="23" t="n">
        <f aca="false">A444+1</f>
        <v>441</v>
      </c>
      <c r="B445" s="14" t="s">
        <v>459</v>
      </c>
      <c r="C445" s="21" t="n">
        <f aca="false">CODE(RIGHT(B445,1))</f>
        <v>29</v>
      </c>
      <c r="D445" s="14" t="str">
        <f aca="false">CLEAN(B445)</f>
        <v>////PR:Books___SP:Carol20171018 $529   </v>
      </c>
      <c r="E445" s="21" t="n">
        <f aca="false">CODE(RIGHT(D445,1))</f>
        <v>32</v>
      </c>
      <c r="F445" s="14" t="str">
        <f aca="false">SUBSTITUTE(D445,_xlfn.UNICHAR(160)," ")</f>
        <v>////PR:Books___SP:Carol20171018 $529   </v>
      </c>
      <c r="G445" s="14" t="str">
        <f aca="false">SUBSTITUTE(F445,"/","")</f>
        <v>PR:Books___SP:Carol20171018 $529   </v>
      </c>
      <c r="H445" s="14" t="str">
        <f aca="false">SUBSTITUTE(G445,"_"," ")</f>
        <v>PR:Books   SP:Carol20171018 $529   </v>
      </c>
      <c r="I445" s="14" t="str">
        <f aca="false">TRIM(H445)</f>
        <v>PR:Books SP:Carol20171018 $529</v>
      </c>
      <c r="J445" s="21" t="n">
        <f aca="false">LEN(I445)</f>
        <v>30</v>
      </c>
      <c r="K445" s="21" t="n">
        <f aca="false">CODE(RIGHT(I445,1))</f>
        <v>57</v>
      </c>
      <c r="L445" s="14" t="str">
        <f aca="false">SUBSTITUTE(I445,"PR:","")</f>
        <v>Books SP:Carol20171018 $529</v>
      </c>
      <c r="M445" s="14" t="str">
        <f aca="false">SUBSTITUTE(L445,"SP:","")</f>
        <v>Books Carol20171018 $529</v>
      </c>
      <c r="N445" s="15" t="str">
        <f aca="false">SUBSTITUTE(M445,"201710"," 201710")</f>
        <v>Books Carol 20171018 $529</v>
      </c>
      <c r="O445" s="21" t="n">
        <f aca="false">FIND(" ",N445)</f>
        <v>6</v>
      </c>
      <c r="P445" s="21" t="n">
        <f aca="false">FIND(" ",N445,O445+1)</f>
        <v>12</v>
      </c>
      <c r="Q445" s="21" t="n">
        <f aca="false">FIND(" ",N445,P445+1)</f>
        <v>21</v>
      </c>
      <c r="R445" s="26" t="str">
        <f aca="false">LEFT(N445,O445-1)</f>
        <v>Books</v>
      </c>
      <c r="S445" s="26" t="str">
        <f aca="false">MID(N445,O445+1,P445-O445-1)</f>
        <v>Carol</v>
      </c>
      <c r="T445" s="26" t="str">
        <f aca="false">MID(N445,P445+1,Q445-P445-1)</f>
        <v>20171018</v>
      </c>
      <c r="U445" s="26" t="n">
        <f aca="false">VALUE(MID(N445,Q445+2,90))</f>
        <v>529</v>
      </c>
      <c r="V445" s="27" t="n">
        <f aca="false">DATE(2017,10,MID(T445,7,2))</f>
        <v>43026</v>
      </c>
    </row>
    <row r="446" customFormat="false" ht="14.25" hidden="false" customHeight="false" outlineLevel="0" collapsed="false">
      <c r="A446" s="23" t="n">
        <f aca="false">A445+1</f>
        <v>442</v>
      </c>
      <c r="B446" s="14" t="s">
        <v>460</v>
      </c>
      <c r="C446" s="21" t="n">
        <f aca="false">CODE(RIGHT(B446,1))</f>
        <v>28</v>
      </c>
      <c r="D446" s="14" t="str">
        <f aca="false">CLEAN(B446)</f>
        <v>//PR:Clothing_____SP:Alice20171020 $688 </v>
      </c>
      <c r="E446" s="21" t="n">
        <f aca="false">CODE(RIGHT(D446,1))</f>
        <v>32</v>
      </c>
      <c r="F446" s="14" t="str">
        <f aca="false">SUBSTITUTE(D446,_xlfn.UNICHAR(160)," ")</f>
        <v>//PR:Clothing_____SP:Alice20171020 $688 </v>
      </c>
      <c r="G446" s="14" t="str">
        <f aca="false">SUBSTITUTE(F446,"/","")</f>
        <v>PR:Clothing_____SP:Alice20171020 $688 </v>
      </c>
      <c r="H446" s="14" t="str">
        <f aca="false">SUBSTITUTE(G446,"_"," ")</f>
        <v>PR:Clothing     SP:Alice20171020 $688 </v>
      </c>
      <c r="I446" s="14" t="str">
        <f aca="false">TRIM(H446)</f>
        <v>PR:Clothing SP:Alice20171020 $688</v>
      </c>
      <c r="J446" s="21" t="n">
        <f aca="false">LEN(I446)</f>
        <v>33</v>
      </c>
      <c r="K446" s="21" t="n">
        <f aca="false">CODE(RIGHT(I446,1))</f>
        <v>56</v>
      </c>
      <c r="L446" s="14" t="str">
        <f aca="false">SUBSTITUTE(I446,"PR:","")</f>
        <v>Clothing SP:Alice20171020 $688</v>
      </c>
      <c r="M446" s="14" t="str">
        <f aca="false">SUBSTITUTE(L446,"SP:","")</f>
        <v>Clothing Alice20171020 $688</v>
      </c>
      <c r="N446" s="15" t="str">
        <f aca="false">SUBSTITUTE(M446,"201710"," 201710")</f>
        <v>Clothing Alice 20171020 $688</v>
      </c>
      <c r="O446" s="21" t="n">
        <f aca="false">FIND(" ",N446)</f>
        <v>9</v>
      </c>
      <c r="P446" s="21" t="n">
        <f aca="false">FIND(" ",N446,O446+1)</f>
        <v>15</v>
      </c>
      <c r="Q446" s="21" t="n">
        <f aca="false">FIND(" ",N446,P446+1)</f>
        <v>24</v>
      </c>
      <c r="R446" s="26" t="str">
        <f aca="false">LEFT(N446,O446-1)</f>
        <v>Clothing</v>
      </c>
      <c r="S446" s="26" t="str">
        <f aca="false">MID(N446,O446+1,P446-O446-1)</f>
        <v>Alice</v>
      </c>
      <c r="T446" s="26" t="str">
        <f aca="false">MID(N446,P446+1,Q446-P446-1)</f>
        <v>20171020</v>
      </c>
      <c r="U446" s="26" t="n">
        <f aca="false">VALUE(MID(N446,Q446+2,90))</f>
        <v>688</v>
      </c>
      <c r="V446" s="27" t="n">
        <f aca="false">DATE(2017,10,MID(T446,7,2))</f>
        <v>43028</v>
      </c>
    </row>
    <row r="447" customFormat="false" ht="14.25" hidden="false" customHeight="false" outlineLevel="0" collapsed="false">
      <c r="A447" s="23" t="n">
        <f aca="false">A446+1</f>
        <v>443</v>
      </c>
      <c r="B447" s="14" t="s">
        <v>461</v>
      </c>
      <c r="C447" s="21" t="n">
        <f aca="false">CODE(RIGHT(B447,1))</f>
        <v>30</v>
      </c>
      <c r="D447" s="14" t="str">
        <f aca="false">CLEAN(B447)</f>
        <v>/PR:Games__SP:David20171016    $0  </v>
      </c>
      <c r="E447" s="21" t="n">
        <f aca="false">CODE(RIGHT(D447,1))</f>
        <v>32</v>
      </c>
      <c r="F447" s="14" t="str">
        <f aca="false">SUBSTITUTE(D447,_xlfn.UNICHAR(160)," ")</f>
        <v>/PR:Games__SP:David20171016    $0  </v>
      </c>
      <c r="G447" s="14" t="str">
        <f aca="false">SUBSTITUTE(F447,"/","")</f>
        <v>PR:Games__SP:David20171016    $0  </v>
      </c>
      <c r="H447" s="14" t="str">
        <f aca="false">SUBSTITUTE(G447,"_"," ")</f>
        <v>PR:Games  SP:David20171016    $0  </v>
      </c>
      <c r="I447" s="14" t="str">
        <f aca="false">TRIM(H447)</f>
        <v>PR:Games SP:David20171016 $0</v>
      </c>
      <c r="J447" s="21" t="n">
        <f aca="false">LEN(I447)</f>
        <v>28</v>
      </c>
      <c r="K447" s="21" t="n">
        <f aca="false">CODE(RIGHT(I447,1))</f>
        <v>48</v>
      </c>
      <c r="L447" s="14" t="str">
        <f aca="false">SUBSTITUTE(I447,"PR:","")</f>
        <v>Games SP:David20171016 $0</v>
      </c>
      <c r="M447" s="14" t="str">
        <f aca="false">SUBSTITUTE(L447,"SP:","")</f>
        <v>Games David20171016 $0</v>
      </c>
      <c r="N447" s="15" t="str">
        <f aca="false">SUBSTITUTE(M447,"201710"," 201710")</f>
        <v>Games David 20171016 $0</v>
      </c>
      <c r="O447" s="21" t="n">
        <f aca="false">FIND(" ",N447)</f>
        <v>6</v>
      </c>
      <c r="P447" s="21" t="n">
        <f aca="false">FIND(" ",N447,O447+1)</f>
        <v>12</v>
      </c>
      <c r="Q447" s="21" t="n">
        <f aca="false">FIND(" ",N447,P447+1)</f>
        <v>21</v>
      </c>
      <c r="R447" s="26" t="str">
        <f aca="false">LEFT(N447,O447-1)</f>
        <v>Games</v>
      </c>
      <c r="S447" s="26" t="str">
        <f aca="false">MID(N447,O447+1,P447-O447-1)</f>
        <v>David</v>
      </c>
      <c r="T447" s="26" t="str">
        <f aca="false">MID(N447,P447+1,Q447-P447-1)</f>
        <v>20171016</v>
      </c>
      <c r="U447" s="26" t="n">
        <f aca="false">VALUE(MID(N447,Q447+2,90))</f>
        <v>0</v>
      </c>
      <c r="V447" s="27" t="n">
        <f aca="false">DATE(2017,10,MID(T447,7,2))</f>
        <v>43024</v>
      </c>
    </row>
    <row r="448" customFormat="false" ht="14.25" hidden="false" customHeight="false" outlineLevel="0" collapsed="false">
      <c r="A448" s="23" t="n">
        <f aca="false">A447+1</f>
        <v>444</v>
      </c>
      <c r="B448" s="14" t="s">
        <v>462</v>
      </c>
      <c r="C448" s="21" t="n">
        <f aca="false">CODE(RIGHT(B448,1))</f>
        <v>28</v>
      </c>
      <c r="D448" s="14" t="str">
        <f aca="false">CLEAN(B448)</f>
        <v>/PR:Books_SP:Carol2017107     $0   </v>
      </c>
      <c r="E448" s="21" t="n">
        <f aca="false">CODE(RIGHT(D448,1))</f>
        <v>32</v>
      </c>
      <c r="F448" s="14" t="str">
        <f aca="false">SUBSTITUTE(D448,_xlfn.UNICHAR(160)," ")</f>
        <v>/PR:Books_SP:Carol2017107     $0   </v>
      </c>
      <c r="G448" s="14" t="str">
        <f aca="false">SUBSTITUTE(F448,"/","")</f>
        <v>PR:Books_SP:Carol2017107     $0   </v>
      </c>
      <c r="H448" s="14" t="str">
        <f aca="false">SUBSTITUTE(G448,"_"," ")</f>
        <v>PR:Books SP:Carol2017107     $0   </v>
      </c>
      <c r="I448" s="14" t="str">
        <f aca="false">TRIM(H448)</f>
        <v>PR:Books SP:Carol2017107 $0</v>
      </c>
      <c r="J448" s="21" t="n">
        <f aca="false">LEN(I448)</f>
        <v>27</v>
      </c>
      <c r="K448" s="21" t="n">
        <f aca="false">CODE(RIGHT(I448,1))</f>
        <v>48</v>
      </c>
      <c r="L448" s="14" t="str">
        <f aca="false">SUBSTITUTE(I448,"PR:","")</f>
        <v>Books SP:Carol2017107 $0</v>
      </c>
      <c r="M448" s="14" t="str">
        <f aca="false">SUBSTITUTE(L448,"SP:","")</f>
        <v>Books Carol2017107 $0</v>
      </c>
      <c r="N448" s="15" t="str">
        <f aca="false">SUBSTITUTE(M448,"201710"," 201710")</f>
        <v>Books Carol 2017107 $0</v>
      </c>
      <c r="O448" s="21" t="n">
        <f aca="false">FIND(" ",N448)</f>
        <v>6</v>
      </c>
      <c r="P448" s="21" t="n">
        <f aca="false">FIND(" ",N448,O448+1)</f>
        <v>12</v>
      </c>
      <c r="Q448" s="21" t="n">
        <f aca="false">FIND(" ",N448,P448+1)</f>
        <v>20</v>
      </c>
      <c r="R448" s="26" t="str">
        <f aca="false">LEFT(N448,O448-1)</f>
        <v>Books</v>
      </c>
      <c r="S448" s="26" t="str">
        <f aca="false">MID(N448,O448+1,P448-O448-1)</f>
        <v>Carol</v>
      </c>
      <c r="T448" s="26" t="str">
        <f aca="false">MID(N448,P448+1,Q448-P448-1)</f>
        <v>2017107</v>
      </c>
      <c r="U448" s="26" t="n">
        <f aca="false">VALUE(MID(N448,Q448+2,90))</f>
        <v>0</v>
      </c>
      <c r="V448" s="27" t="n">
        <f aca="false">DATE(2017,10,MID(T448,7,2))</f>
        <v>43015</v>
      </c>
    </row>
    <row r="449" customFormat="false" ht="14.25" hidden="false" customHeight="false" outlineLevel="0" collapsed="false">
      <c r="A449" s="23" t="n">
        <f aca="false">A448+1</f>
        <v>445</v>
      </c>
      <c r="B449" s="14" t="s">
        <v>463</v>
      </c>
      <c r="C449" s="21" t="n">
        <f aca="false">CODE(RIGHT(B449,1))</f>
        <v>28</v>
      </c>
      <c r="D449" s="14" t="str">
        <f aca="false">CLEAN(B449)</f>
        <v>///PR:Music__SP:Alice20171029  $1338     </v>
      </c>
      <c r="E449" s="21" t="n">
        <f aca="false">CODE(RIGHT(D449,1))</f>
        <v>32</v>
      </c>
      <c r="F449" s="14" t="str">
        <f aca="false">SUBSTITUTE(D449,_xlfn.UNICHAR(160)," ")</f>
        <v>///PR:Music__SP:Alice20171029  $1338     </v>
      </c>
      <c r="G449" s="14" t="str">
        <f aca="false">SUBSTITUTE(F449,"/","")</f>
        <v>PR:Music__SP:Alice20171029  $1338     </v>
      </c>
      <c r="H449" s="14" t="str">
        <f aca="false">SUBSTITUTE(G449,"_"," ")</f>
        <v>PR:Music  SP:Alice20171029  $1338     </v>
      </c>
      <c r="I449" s="14" t="str">
        <f aca="false">TRIM(H449)</f>
        <v>PR:Music SP:Alice20171029 $1338</v>
      </c>
      <c r="J449" s="21" t="n">
        <f aca="false">LEN(I449)</f>
        <v>31</v>
      </c>
      <c r="K449" s="21" t="n">
        <f aca="false">CODE(RIGHT(I449,1))</f>
        <v>56</v>
      </c>
      <c r="L449" s="14" t="str">
        <f aca="false">SUBSTITUTE(I449,"PR:","")</f>
        <v>Music SP:Alice20171029 $1338</v>
      </c>
      <c r="M449" s="14" t="str">
        <f aca="false">SUBSTITUTE(L449,"SP:","")</f>
        <v>Music Alice20171029 $1338</v>
      </c>
      <c r="N449" s="15" t="str">
        <f aca="false">SUBSTITUTE(M449,"201710"," 201710")</f>
        <v>Music Alice 20171029 $1338</v>
      </c>
      <c r="O449" s="21" t="n">
        <f aca="false">FIND(" ",N449)</f>
        <v>6</v>
      </c>
      <c r="P449" s="21" t="n">
        <f aca="false">FIND(" ",N449,O449+1)</f>
        <v>12</v>
      </c>
      <c r="Q449" s="21" t="n">
        <f aca="false">FIND(" ",N449,P449+1)</f>
        <v>21</v>
      </c>
      <c r="R449" s="26" t="str">
        <f aca="false">LEFT(N449,O449-1)</f>
        <v>Music</v>
      </c>
      <c r="S449" s="26" t="str">
        <f aca="false">MID(N449,O449+1,P449-O449-1)</f>
        <v>Alice</v>
      </c>
      <c r="T449" s="26" t="str">
        <f aca="false">MID(N449,P449+1,Q449-P449-1)</f>
        <v>20171029</v>
      </c>
      <c r="U449" s="26" t="n">
        <f aca="false">VALUE(MID(N449,Q449+2,90))</f>
        <v>1338</v>
      </c>
      <c r="V449" s="27" t="n">
        <f aca="false">DATE(2017,10,MID(T449,7,2))</f>
        <v>43037</v>
      </c>
    </row>
    <row r="450" customFormat="false" ht="14.25" hidden="false" customHeight="false" outlineLevel="0" collapsed="false">
      <c r="A450" s="23" t="n">
        <f aca="false">A449+1</f>
        <v>446</v>
      </c>
      <c r="B450" s="14" t="s">
        <v>464</v>
      </c>
      <c r="C450" s="21" t="n">
        <f aca="false">CODE(RIGHT(B450,1))</f>
        <v>30</v>
      </c>
      <c r="D450" s="14" t="str">
        <f aca="false">CLEAN(B450)</f>
        <v>//PR:Books__SP:Barney20171030   $695    </v>
      </c>
      <c r="E450" s="21" t="n">
        <f aca="false">CODE(RIGHT(D450,1))</f>
        <v>32</v>
      </c>
      <c r="F450" s="14" t="str">
        <f aca="false">SUBSTITUTE(D450,_xlfn.UNICHAR(160)," ")</f>
        <v>//PR:Books__SP:Barney20171030   $695    </v>
      </c>
      <c r="G450" s="14" t="str">
        <f aca="false">SUBSTITUTE(F450,"/","")</f>
        <v>PR:Books__SP:Barney20171030   $695    </v>
      </c>
      <c r="H450" s="14" t="str">
        <f aca="false">SUBSTITUTE(G450,"_"," ")</f>
        <v>PR:Books  SP:Barney20171030   $695    </v>
      </c>
      <c r="I450" s="14" t="str">
        <f aca="false">TRIM(H450)</f>
        <v>PR:Books SP:Barney20171030 $695</v>
      </c>
      <c r="J450" s="21" t="n">
        <f aca="false">LEN(I450)</f>
        <v>31</v>
      </c>
      <c r="K450" s="21" t="n">
        <f aca="false">CODE(RIGHT(I450,1))</f>
        <v>53</v>
      </c>
      <c r="L450" s="14" t="str">
        <f aca="false">SUBSTITUTE(I450,"PR:","")</f>
        <v>Books SP:Barney20171030 $695</v>
      </c>
      <c r="M450" s="14" t="str">
        <f aca="false">SUBSTITUTE(L450,"SP:","")</f>
        <v>Books Barney20171030 $695</v>
      </c>
      <c r="N450" s="15" t="str">
        <f aca="false">SUBSTITUTE(M450,"201710"," 201710")</f>
        <v>Books Barney 20171030 $695</v>
      </c>
      <c r="O450" s="21" t="n">
        <f aca="false">FIND(" ",N450)</f>
        <v>6</v>
      </c>
      <c r="P450" s="21" t="n">
        <f aca="false">FIND(" ",N450,O450+1)</f>
        <v>13</v>
      </c>
      <c r="Q450" s="21" t="n">
        <f aca="false">FIND(" ",N450,P450+1)</f>
        <v>22</v>
      </c>
      <c r="R450" s="26" t="str">
        <f aca="false">LEFT(N450,O450-1)</f>
        <v>Books</v>
      </c>
      <c r="S450" s="26" t="str">
        <f aca="false">MID(N450,O450+1,P450-O450-1)</f>
        <v>Barney</v>
      </c>
      <c r="T450" s="26" t="str">
        <f aca="false">MID(N450,P450+1,Q450-P450-1)</f>
        <v>20171030</v>
      </c>
      <c r="U450" s="26" t="n">
        <f aca="false">VALUE(MID(N450,Q450+2,90))</f>
        <v>695</v>
      </c>
      <c r="V450" s="27" t="n">
        <f aca="false">DATE(2017,10,MID(T450,7,2))</f>
        <v>43038</v>
      </c>
    </row>
    <row r="451" customFormat="false" ht="14.25" hidden="false" customHeight="false" outlineLevel="0" collapsed="false">
      <c r="A451" s="23" t="n">
        <f aca="false">A450+1</f>
        <v>447</v>
      </c>
      <c r="B451" s="14" t="s">
        <v>465</v>
      </c>
      <c r="C451" s="21" t="n">
        <f aca="false">CODE(RIGHT(B451,1))</f>
        <v>28</v>
      </c>
      <c r="D451" s="14" t="str">
        <f aca="false">CLEAN(B451)</f>
        <v>//PR:Books_____SP:Alice20171028   $543 </v>
      </c>
      <c r="E451" s="21" t="n">
        <f aca="false">CODE(RIGHT(D451,1))</f>
        <v>32</v>
      </c>
      <c r="F451" s="14" t="str">
        <f aca="false">SUBSTITUTE(D451,_xlfn.UNICHAR(160)," ")</f>
        <v>//PR:Books_____SP:Alice20171028   $543 </v>
      </c>
      <c r="G451" s="14" t="str">
        <f aca="false">SUBSTITUTE(F451,"/","")</f>
        <v>PR:Books_____SP:Alice20171028   $543 </v>
      </c>
      <c r="H451" s="14" t="str">
        <f aca="false">SUBSTITUTE(G451,"_"," ")</f>
        <v>PR:Books     SP:Alice20171028   $543 </v>
      </c>
      <c r="I451" s="14" t="str">
        <f aca="false">TRIM(H451)</f>
        <v>PR:Books SP:Alice20171028 $543</v>
      </c>
      <c r="J451" s="21" t="n">
        <f aca="false">LEN(I451)</f>
        <v>30</v>
      </c>
      <c r="K451" s="21" t="n">
        <f aca="false">CODE(RIGHT(I451,1))</f>
        <v>51</v>
      </c>
      <c r="L451" s="14" t="str">
        <f aca="false">SUBSTITUTE(I451,"PR:","")</f>
        <v>Books SP:Alice20171028 $543</v>
      </c>
      <c r="M451" s="14" t="str">
        <f aca="false">SUBSTITUTE(L451,"SP:","")</f>
        <v>Books Alice20171028 $543</v>
      </c>
      <c r="N451" s="15" t="str">
        <f aca="false">SUBSTITUTE(M451,"201710"," 201710")</f>
        <v>Books Alice 20171028 $543</v>
      </c>
      <c r="O451" s="21" t="n">
        <f aca="false">FIND(" ",N451)</f>
        <v>6</v>
      </c>
      <c r="P451" s="21" t="n">
        <f aca="false">FIND(" ",N451,O451+1)</f>
        <v>12</v>
      </c>
      <c r="Q451" s="21" t="n">
        <f aca="false">FIND(" ",N451,P451+1)</f>
        <v>21</v>
      </c>
      <c r="R451" s="26" t="str">
        <f aca="false">LEFT(N451,O451-1)</f>
        <v>Books</v>
      </c>
      <c r="S451" s="26" t="str">
        <f aca="false">MID(N451,O451+1,P451-O451-1)</f>
        <v>Alice</v>
      </c>
      <c r="T451" s="26" t="str">
        <f aca="false">MID(N451,P451+1,Q451-P451-1)</f>
        <v>20171028</v>
      </c>
      <c r="U451" s="26" t="n">
        <f aca="false">VALUE(MID(N451,Q451+2,90))</f>
        <v>543</v>
      </c>
      <c r="V451" s="27" t="n">
        <f aca="false">DATE(2017,10,MID(T451,7,2))</f>
        <v>43036</v>
      </c>
    </row>
    <row r="452" customFormat="false" ht="14.25" hidden="false" customHeight="false" outlineLevel="0" collapsed="false">
      <c r="A452" s="23" t="n">
        <f aca="false">A451+1</f>
        <v>448</v>
      </c>
      <c r="B452" s="14" t="s">
        <v>466</v>
      </c>
      <c r="C452" s="21" t="n">
        <f aca="false">CODE(RIGHT(B452,1))</f>
        <v>30</v>
      </c>
      <c r="D452" s="14" t="str">
        <f aca="false">CLEAN(B452)</f>
        <v>/////PR:Music____SP:Alice20171016    $0  </v>
      </c>
      <c r="E452" s="21" t="n">
        <f aca="false">CODE(RIGHT(D452,1))</f>
        <v>32</v>
      </c>
      <c r="F452" s="14" t="str">
        <f aca="false">SUBSTITUTE(D452,_xlfn.UNICHAR(160)," ")</f>
        <v>/////PR:Music____SP:Alice20171016    $0  </v>
      </c>
      <c r="G452" s="14" t="str">
        <f aca="false">SUBSTITUTE(F452,"/","")</f>
        <v>PR:Music____SP:Alice20171016    $0  </v>
      </c>
      <c r="H452" s="14" t="str">
        <f aca="false">SUBSTITUTE(G452,"_"," ")</f>
        <v>PR:Music    SP:Alice20171016    $0  </v>
      </c>
      <c r="I452" s="14" t="str">
        <f aca="false">TRIM(H452)</f>
        <v>PR:Music SP:Alice20171016 $0</v>
      </c>
      <c r="J452" s="21" t="n">
        <f aca="false">LEN(I452)</f>
        <v>28</v>
      </c>
      <c r="K452" s="21" t="n">
        <f aca="false">CODE(RIGHT(I452,1))</f>
        <v>48</v>
      </c>
      <c r="L452" s="14" t="str">
        <f aca="false">SUBSTITUTE(I452,"PR:","")</f>
        <v>Music SP:Alice20171016 $0</v>
      </c>
      <c r="M452" s="14" t="str">
        <f aca="false">SUBSTITUTE(L452,"SP:","")</f>
        <v>Music Alice20171016 $0</v>
      </c>
      <c r="N452" s="15" t="str">
        <f aca="false">SUBSTITUTE(M452,"201710"," 201710")</f>
        <v>Music Alice 20171016 $0</v>
      </c>
      <c r="O452" s="21" t="n">
        <f aca="false">FIND(" ",N452)</f>
        <v>6</v>
      </c>
      <c r="P452" s="21" t="n">
        <f aca="false">FIND(" ",N452,O452+1)</f>
        <v>12</v>
      </c>
      <c r="Q452" s="21" t="n">
        <f aca="false">FIND(" ",N452,P452+1)</f>
        <v>21</v>
      </c>
      <c r="R452" s="26" t="str">
        <f aca="false">LEFT(N452,O452-1)</f>
        <v>Music</v>
      </c>
      <c r="S452" s="26" t="str">
        <f aca="false">MID(N452,O452+1,P452-O452-1)</f>
        <v>Alice</v>
      </c>
      <c r="T452" s="26" t="str">
        <f aca="false">MID(N452,P452+1,Q452-P452-1)</f>
        <v>20171016</v>
      </c>
      <c r="U452" s="26" t="n">
        <f aca="false">VALUE(MID(N452,Q452+2,90))</f>
        <v>0</v>
      </c>
      <c r="V452" s="27" t="n">
        <f aca="false">DATE(2017,10,MID(T452,7,2))</f>
        <v>43024</v>
      </c>
    </row>
    <row r="453" customFormat="false" ht="14.25" hidden="false" customHeight="false" outlineLevel="0" collapsed="false">
      <c r="A453" s="23" t="n">
        <f aca="false">A452+1</f>
        <v>449</v>
      </c>
      <c r="B453" s="14" t="s">
        <v>467</v>
      </c>
      <c r="C453" s="21" t="n">
        <f aca="false">CODE(RIGHT(B453,1))</f>
        <v>28</v>
      </c>
      <c r="D453" s="14" t="str">
        <f aca="false">CLEAN(B453)</f>
        <v>/////PR:Books___SP:Alice20171018    $523  </v>
      </c>
      <c r="E453" s="21" t="n">
        <f aca="false">CODE(RIGHT(D453,1))</f>
        <v>32</v>
      </c>
      <c r="F453" s="14" t="str">
        <f aca="false">SUBSTITUTE(D453,_xlfn.UNICHAR(160)," ")</f>
        <v>/////PR:Books___SP:Alice20171018    $523  </v>
      </c>
      <c r="G453" s="14" t="str">
        <f aca="false">SUBSTITUTE(F453,"/","")</f>
        <v>PR:Books___SP:Alice20171018    $523  </v>
      </c>
      <c r="H453" s="14" t="str">
        <f aca="false">SUBSTITUTE(G453,"_"," ")</f>
        <v>PR:Books   SP:Alice20171018    $523  </v>
      </c>
      <c r="I453" s="14" t="str">
        <f aca="false">TRIM(H453)</f>
        <v>PR:Books SP:Alice20171018 $523</v>
      </c>
      <c r="J453" s="21" t="n">
        <f aca="false">LEN(I453)</f>
        <v>30</v>
      </c>
      <c r="K453" s="21" t="n">
        <f aca="false">CODE(RIGHT(I453,1))</f>
        <v>51</v>
      </c>
      <c r="L453" s="14" t="str">
        <f aca="false">SUBSTITUTE(I453,"PR:","")</f>
        <v>Books SP:Alice20171018 $523</v>
      </c>
      <c r="M453" s="14" t="str">
        <f aca="false">SUBSTITUTE(L453,"SP:","")</f>
        <v>Books Alice20171018 $523</v>
      </c>
      <c r="N453" s="15" t="str">
        <f aca="false">SUBSTITUTE(M453,"201710"," 201710")</f>
        <v>Books Alice 20171018 $523</v>
      </c>
      <c r="O453" s="21" t="n">
        <f aca="false">FIND(" ",N453)</f>
        <v>6</v>
      </c>
      <c r="P453" s="21" t="n">
        <f aca="false">FIND(" ",N453,O453+1)</f>
        <v>12</v>
      </c>
      <c r="Q453" s="21" t="n">
        <f aca="false">FIND(" ",N453,P453+1)</f>
        <v>21</v>
      </c>
      <c r="R453" s="26" t="str">
        <f aca="false">LEFT(N453,O453-1)</f>
        <v>Books</v>
      </c>
      <c r="S453" s="26" t="str">
        <f aca="false">MID(N453,O453+1,P453-O453-1)</f>
        <v>Alice</v>
      </c>
      <c r="T453" s="26" t="str">
        <f aca="false">MID(N453,P453+1,Q453-P453-1)</f>
        <v>20171018</v>
      </c>
      <c r="U453" s="26" t="n">
        <f aca="false">VALUE(MID(N453,Q453+2,90))</f>
        <v>523</v>
      </c>
      <c r="V453" s="27" t="n">
        <f aca="false">DATE(2017,10,MID(T453,7,2))</f>
        <v>43026</v>
      </c>
    </row>
    <row r="454" customFormat="false" ht="14.25" hidden="false" customHeight="false" outlineLevel="0" collapsed="false">
      <c r="A454" s="23" t="n">
        <f aca="false">A453+1</f>
        <v>450</v>
      </c>
      <c r="B454" s="14" t="s">
        <v>468</v>
      </c>
      <c r="C454" s="21" t="n">
        <f aca="false">CODE(RIGHT(B454,1))</f>
        <v>31</v>
      </c>
      <c r="D454" s="14" t="str">
        <f aca="false">CLEAN(B454)</f>
        <v>/////PR:Games_SP:Alice2017108     $1218   </v>
      </c>
      <c r="E454" s="21" t="n">
        <f aca="false">CODE(RIGHT(D454,1))</f>
        <v>32</v>
      </c>
      <c r="F454" s="14" t="str">
        <f aca="false">SUBSTITUTE(D454,_xlfn.UNICHAR(160)," ")</f>
        <v>/////PR:Games_SP:Alice2017108     $1218   </v>
      </c>
      <c r="G454" s="14" t="str">
        <f aca="false">SUBSTITUTE(F454,"/","")</f>
        <v>PR:Games_SP:Alice2017108     $1218   </v>
      </c>
      <c r="H454" s="14" t="str">
        <f aca="false">SUBSTITUTE(G454,"_"," ")</f>
        <v>PR:Games SP:Alice2017108     $1218   </v>
      </c>
      <c r="I454" s="14" t="str">
        <f aca="false">TRIM(H454)</f>
        <v>PR:Games SP:Alice2017108 $1218</v>
      </c>
      <c r="J454" s="21" t="n">
        <f aca="false">LEN(I454)</f>
        <v>30</v>
      </c>
      <c r="K454" s="21" t="n">
        <f aca="false">CODE(RIGHT(I454,1))</f>
        <v>56</v>
      </c>
      <c r="L454" s="14" t="str">
        <f aca="false">SUBSTITUTE(I454,"PR:","")</f>
        <v>Games SP:Alice2017108 $1218</v>
      </c>
      <c r="M454" s="14" t="str">
        <f aca="false">SUBSTITUTE(L454,"SP:","")</f>
        <v>Games Alice2017108 $1218</v>
      </c>
      <c r="N454" s="15" t="str">
        <f aca="false">SUBSTITUTE(M454,"201710"," 201710")</f>
        <v>Games Alice 2017108 $1218</v>
      </c>
      <c r="O454" s="21" t="n">
        <f aca="false">FIND(" ",N454)</f>
        <v>6</v>
      </c>
      <c r="P454" s="21" t="n">
        <f aca="false">FIND(" ",N454,O454+1)</f>
        <v>12</v>
      </c>
      <c r="Q454" s="21" t="n">
        <f aca="false">FIND(" ",N454,P454+1)</f>
        <v>20</v>
      </c>
      <c r="R454" s="26" t="str">
        <f aca="false">LEFT(N454,O454-1)</f>
        <v>Games</v>
      </c>
      <c r="S454" s="26" t="str">
        <f aca="false">MID(N454,O454+1,P454-O454-1)</f>
        <v>Alice</v>
      </c>
      <c r="T454" s="26" t="str">
        <f aca="false">MID(N454,P454+1,Q454-P454-1)</f>
        <v>2017108</v>
      </c>
      <c r="U454" s="26" t="n">
        <f aca="false">VALUE(MID(N454,Q454+2,90))</f>
        <v>1218</v>
      </c>
      <c r="V454" s="27" t="n">
        <f aca="false">DATE(2017,10,MID(T454,7,2))</f>
        <v>43016</v>
      </c>
    </row>
    <row r="455" customFormat="false" ht="14.25" hidden="false" customHeight="false" outlineLevel="0" collapsed="false">
      <c r="A455" s="23" t="n">
        <f aca="false">A454+1</f>
        <v>451</v>
      </c>
      <c r="B455" s="14" t="s">
        <v>469</v>
      </c>
      <c r="C455" s="21" t="n">
        <f aca="false">CODE(RIGHT(B455,1))</f>
        <v>28</v>
      </c>
      <c r="D455" s="14" t="str">
        <f aca="false">CLEAN(B455)</f>
        <v>///PR:Books_SP:Barney20171025     $838    </v>
      </c>
      <c r="E455" s="21" t="n">
        <f aca="false">CODE(RIGHT(D455,1))</f>
        <v>32</v>
      </c>
      <c r="F455" s="14" t="str">
        <f aca="false">SUBSTITUTE(D455,_xlfn.UNICHAR(160)," ")</f>
        <v>///PR:Books_SP:Barney20171025     $838    </v>
      </c>
      <c r="G455" s="14" t="str">
        <f aca="false">SUBSTITUTE(F455,"/","")</f>
        <v>PR:Books_SP:Barney20171025     $838    </v>
      </c>
      <c r="H455" s="14" t="str">
        <f aca="false">SUBSTITUTE(G455,"_"," ")</f>
        <v>PR:Books SP:Barney20171025     $838    </v>
      </c>
      <c r="I455" s="14" t="str">
        <f aca="false">TRIM(H455)</f>
        <v>PR:Books SP:Barney20171025 $838</v>
      </c>
      <c r="J455" s="21" t="n">
        <f aca="false">LEN(I455)</f>
        <v>31</v>
      </c>
      <c r="K455" s="21" t="n">
        <f aca="false">CODE(RIGHT(I455,1))</f>
        <v>56</v>
      </c>
      <c r="L455" s="14" t="str">
        <f aca="false">SUBSTITUTE(I455,"PR:","")</f>
        <v>Books SP:Barney20171025 $838</v>
      </c>
      <c r="M455" s="14" t="str">
        <f aca="false">SUBSTITUTE(L455,"SP:","")</f>
        <v>Books Barney20171025 $838</v>
      </c>
      <c r="N455" s="15" t="str">
        <f aca="false">SUBSTITUTE(M455,"201710"," 201710")</f>
        <v>Books Barney 20171025 $838</v>
      </c>
      <c r="O455" s="21" t="n">
        <f aca="false">FIND(" ",N455)</f>
        <v>6</v>
      </c>
      <c r="P455" s="21" t="n">
        <f aca="false">FIND(" ",N455,O455+1)</f>
        <v>13</v>
      </c>
      <c r="Q455" s="21" t="n">
        <f aca="false">FIND(" ",N455,P455+1)</f>
        <v>22</v>
      </c>
      <c r="R455" s="26" t="str">
        <f aca="false">LEFT(N455,O455-1)</f>
        <v>Books</v>
      </c>
      <c r="S455" s="26" t="str">
        <f aca="false">MID(N455,O455+1,P455-O455-1)</f>
        <v>Barney</v>
      </c>
      <c r="T455" s="26" t="str">
        <f aca="false">MID(N455,P455+1,Q455-P455-1)</f>
        <v>20171025</v>
      </c>
      <c r="U455" s="26" t="n">
        <f aca="false">VALUE(MID(N455,Q455+2,90))</f>
        <v>838</v>
      </c>
      <c r="V455" s="27" t="n">
        <f aca="false">DATE(2017,10,MID(T455,7,2))</f>
        <v>43033</v>
      </c>
    </row>
    <row r="456" customFormat="false" ht="14.25" hidden="false" customHeight="false" outlineLevel="0" collapsed="false">
      <c r="A456" s="23" t="n">
        <f aca="false">A455+1</f>
        <v>452</v>
      </c>
      <c r="B456" s="14" t="s">
        <v>470</v>
      </c>
      <c r="C456" s="21" t="n">
        <f aca="false">CODE(RIGHT(B456,1))</f>
        <v>31</v>
      </c>
      <c r="D456" s="14" t="str">
        <f aca="false">CLEAN(B456)</f>
        <v>//PR:Games__SP:David20171018     $1893     </v>
      </c>
      <c r="E456" s="21" t="n">
        <f aca="false">CODE(RIGHT(D456,1))</f>
        <v>32</v>
      </c>
      <c r="F456" s="14" t="str">
        <f aca="false">SUBSTITUTE(D456,_xlfn.UNICHAR(160)," ")</f>
        <v>//PR:Games__SP:David20171018     $1893     </v>
      </c>
      <c r="G456" s="14" t="str">
        <f aca="false">SUBSTITUTE(F456,"/","")</f>
        <v>PR:Games__SP:David20171018     $1893     </v>
      </c>
      <c r="H456" s="14" t="str">
        <f aca="false">SUBSTITUTE(G456,"_"," ")</f>
        <v>PR:Games  SP:David20171018     $1893     </v>
      </c>
      <c r="I456" s="14" t="str">
        <f aca="false">TRIM(H456)</f>
        <v>PR:Games SP:David20171018 $1893</v>
      </c>
      <c r="J456" s="21" t="n">
        <f aca="false">LEN(I456)</f>
        <v>31</v>
      </c>
      <c r="K456" s="21" t="n">
        <f aca="false">CODE(RIGHT(I456,1))</f>
        <v>51</v>
      </c>
      <c r="L456" s="14" t="str">
        <f aca="false">SUBSTITUTE(I456,"PR:","")</f>
        <v>Games SP:David20171018 $1893</v>
      </c>
      <c r="M456" s="14" t="str">
        <f aca="false">SUBSTITUTE(L456,"SP:","")</f>
        <v>Games David20171018 $1893</v>
      </c>
      <c r="N456" s="15" t="str">
        <f aca="false">SUBSTITUTE(M456,"201710"," 201710")</f>
        <v>Games David 20171018 $1893</v>
      </c>
      <c r="O456" s="21" t="n">
        <f aca="false">FIND(" ",N456)</f>
        <v>6</v>
      </c>
      <c r="P456" s="21" t="n">
        <f aca="false">FIND(" ",N456,O456+1)</f>
        <v>12</v>
      </c>
      <c r="Q456" s="21" t="n">
        <f aca="false">FIND(" ",N456,P456+1)</f>
        <v>21</v>
      </c>
      <c r="R456" s="26" t="str">
        <f aca="false">LEFT(N456,O456-1)</f>
        <v>Games</v>
      </c>
      <c r="S456" s="26" t="str">
        <f aca="false">MID(N456,O456+1,P456-O456-1)</f>
        <v>David</v>
      </c>
      <c r="T456" s="26" t="str">
        <f aca="false">MID(N456,P456+1,Q456-P456-1)</f>
        <v>20171018</v>
      </c>
      <c r="U456" s="26" t="n">
        <f aca="false">VALUE(MID(N456,Q456+2,90))</f>
        <v>1893</v>
      </c>
      <c r="V456" s="27" t="n">
        <f aca="false">DATE(2017,10,MID(T456,7,2))</f>
        <v>43026</v>
      </c>
    </row>
    <row r="457" customFormat="false" ht="14.25" hidden="false" customHeight="false" outlineLevel="0" collapsed="false">
      <c r="A457" s="23" t="n">
        <f aca="false">A456+1</f>
        <v>453</v>
      </c>
      <c r="B457" s="14" t="s">
        <v>471</v>
      </c>
      <c r="C457" s="21" t="n">
        <f aca="false">CODE(RIGHT(B457,1))</f>
        <v>29</v>
      </c>
      <c r="D457" s="14" t="str">
        <f aca="false">CLEAN(B457)</f>
        <v>//PR:Clothing_____SP:Alice2017109  $989 </v>
      </c>
      <c r="E457" s="21" t="n">
        <f aca="false">CODE(RIGHT(D457,1))</f>
        <v>32</v>
      </c>
      <c r="F457" s="14" t="str">
        <f aca="false">SUBSTITUTE(D457,_xlfn.UNICHAR(160)," ")</f>
        <v>//PR:Clothing_____SP:Alice2017109  $989 </v>
      </c>
      <c r="G457" s="14" t="str">
        <f aca="false">SUBSTITUTE(F457,"/","")</f>
        <v>PR:Clothing_____SP:Alice2017109  $989 </v>
      </c>
      <c r="H457" s="14" t="str">
        <f aca="false">SUBSTITUTE(G457,"_"," ")</f>
        <v>PR:Clothing     SP:Alice2017109  $989 </v>
      </c>
      <c r="I457" s="14" t="str">
        <f aca="false">TRIM(H457)</f>
        <v>PR:Clothing SP:Alice2017109 $989</v>
      </c>
      <c r="J457" s="21" t="n">
        <f aca="false">LEN(I457)</f>
        <v>32</v>
      </c>
      <c r="K457" s="21" t="n">
        <f aca="false">CODE(RIGHT(I457,1))</f>
        <v>57</v>
      </c>
      <c r="L457" s="14" t="str">
        <f aca="false">SUBSTITUTE(I457,"PR:","")</f>
        <v>Clothing SP:Alice2017109 $989</v>
      </c>
      <c r="M457" s="14" t="str">
        <f aca="false">SUBSTITUTE(L457,"SP:","")</f>
        <v>Clothing Alice2017109 $989</v>
      </c>
      <c r="N457" s="15" t="str">
        <f aca="false">SUBSTITUTE(M457,"201710"," 201710")</f>
        <v>Clothing Alice 2017109 $989</v>
      </c>
      <c r="O457" s="21" t="n">
        <f aca="false">FIND(" ",N457)</f>
        <v>9</v>
      </c>
      <c r="P457" s="21" t="n">
        <f aca="false">FIND(" ",N457,O457+1)</f>
        <v>15</v>
      </c>
      <c r="Q457" s="21" t="n">
        <f aca="false">FIND(" ",N457,P457+1)</f>
        <v>23</v>
      </c>
      <c r="R457" s="26" t="str">
        <f aca="false">LEFT(N457,O457-1)</f>
        <v>Clothing</v>
      </c>
      <c r="S457" s="26" t="str">
        <f aca="false">MID(N457,O457+1,P457-O457-1)</f>
        <v>Alice</v>
      </c>
      <c r="T457" s="26" t="str">
        <f aca="false">MID(N457,P457+1,Q457-P457-1)</f>
        <v>2017109</v>
      </c>
      <c r="U457" s="26" t="n">
        <f aca="false">VALUE(MID(N457,Q457+2,90))</f>
        <v>989</v>
      </c>
      <c r="V457" s="27" t="n">
        <f aca="false">DATE(2017,10,MID(T457,7,2))</f>
        <v>43017</v>
      </c>
    </row>
    <row r="458" customFormat="false" ht="14.25" hidden="false" customHeight="false" outlineLevel="0" collapsed="false">
      <c r="A458" s="23" t="n">
        <f aca="false">A457+1</f>
        <v>454</v>
      </c>
      <c r="B458" s="14" t="s">
        <v>472</v>
      </c>
      <c r="C458" s="21" t="n">
        <f aca="false">CODE(RIGHT(B458,1))</f>
        <v>31</v>
      </c>
      <c r="D458" s="14" t="str">
        <f aca="false">CLEAN(B458)</f>
        <v>////PR:Music___SP:Barney20171014   $1144    </v>
      </c>
      <c r="E458" s="21" t="n">
        <f aca="false">CODE(RIGHT(D458,1))</f>
        <v>32</v>
      </c>
      <c r="F458" s="14" t="str">
        <f aca="false">SUBSTITUTE(D458,_xlfn.UNICHAR(160)," ")</f>
        <v>////PR:Music___SP:Barney20171014   $1144    </v>
      </c>
      <c r="G458" s="14" t="str">
        <f aca="false">SUBSTITUTE(F458,"/","")</f>
        <v>PR:Music___SP:Barney20171014   $1144    </v>
      </c>
      <c r="H458" s="14" t="str">
        <f aca="false">SUBSTITUTE(G458,"_"," ")</f>
        <v>PR:Music   SP:Barney20171014   $1144    </v>
      </c>
      <c r="I458" s="14" t="str">
        <f aca="false">TRIM(H458)</f>
        <v>PR:Music SP:Barney20171014 $1144</v>
      </c>
      <c r="J458" s="21" t="n">
        <f aca="false">LEN(I458)</f>
        <v>32</v>
      </c>
      <c r="K458" s="21" t="n">
        <f aca="false">CODE(RIGHT(I458,1))</f>
        <v>52</v>
      </c>
      <c r="L458" s="14" t="str">
        <f aca="false">SUBSTITUTE(I458,"PR:","")</f>
        <v>Music SP:Barney20171014 $1144</v>
      </c>
      <c r="M458" s="14" t="str">
        <f aca="false">SUBSTITUTE(L458,"SP:","")</f>
        <v>Music Barney20171014 $1144</v>
      </c>
      <c r="N458" s="15" t="str">
        <f aca="false">SUBSTITUTE(M458,"201710"," 201710")</f>
        <v>Music Barney 20171014 $1144</v>
      </c>
      <c r="O458" s="21" t="n">
        <f aca="false">FIND(" ",N458)</f>
        <v>6</v>
      </c>
      <c r="P458" s="21" t="n">
        <f aca="false">FIND(" ",N458,O458+1)</f>
        <v>13</v>
      </c>
      <c r="Q458" s="21" t="n">
        <f aca="false">FIND(" ",N458,P458+1)</f>
        <v>22</v>
      </c>
      <c r="R458" s="26" t="str">
        <f aca="false">LEFT(N458,O458-1)</f>
        <v>Music</v>
      </c>
      <c r="S458" s="26" t="str">
        <f aca="false">MID(N458,O458+1,P458-O458-1)</f>
        <v>Barney</v>
      </c>
      <c r="T458" s="26" t="str">
        <f aca="false">MID(N458,P458+1,Q458-P458-1)</f>
        <v>20171014</v>
      </c>
      <c r="U458" s="26" t="n">
        <f aca="false">VALUE(MID(N458,Q458+2,90))</f>
        <v>1144</v>
      </c>
      <c r="V458" s="27" t="n">
        <f aca="false">DATE(2017,10,MID(T458,7,2))</f>
        <v>43022</v>
      </c>
    </row>
    <row r="459" customFormat="false" ht="14.25" hidden="false" customHeight="false" outlineLevel="0" collapsed="false">
      <c r="A459" s="23" t="n">
        <f aca="false">A458+1</f>
        <v>455</v>
      </c>
      <c r="B459" s="14" t="s">
        <v>473</v>
      </c>
      <c r="C459" s="21" t="n">
        <f aca="false">CODE(RIGHT(B459,1))</f>
        <v>31</v>
      </c>
      <c r="D459" s="14" t="str">
        <f aca="false">CLEAN(B459)</f>
        <v>//PR:Clothing_____SP:Alice20171022    $1619   </v>
      </c>
      <c r="E459" s="21" t="n">
        <f aca="false">CODE(RIGHT(D459,1))</f>
        <v>32</v>
      </c>
      <c r="F459" s="14" t="str">
        <f aca="false">SUBSTITUTE(D459,_xlfn.UNICHAR(160)," ")</f>
        <v>//PR:Clothing_____SP:Alice20171022    $1619   </v>
      </c>
      <c r="G459" s="14" t="str">
        <f aca="false">SUBSTITUTE(F459,"/","")</f>
        <v>PR:Clothing_____SP:Alice20171022    $1619   </v>
      </c>
      <c r="H459" s="14" t="str">
        <f aca="false">SUBSTITUTE(G459,"_"," ")</f>
        <v>PR:Clothing     SP:Alice20171022    $1619   </v>
      </c>
      <c r="I459" s="14" t="str">
        <f aca="false">TRIM(H459)</f>
        <v>PR:Clothing SP:Alice20171022 $1619</v>
      </c>
      <c r="J459" s="21" t="n">
        <f aca="false">LEN(I459)</f>
        <v>34</v>
      </c>
      <c r="K459" s="21" t="n">
        <f aca="false">CODE(RIGHT(I459,1))</f>
        <v>57</v>
      </c>
      <c r="L459" s="14" t="str">
        <f aca="false">SUBSTITUTE(I459,"PR:","")</f>
        <v>Clothing SP:Alice20171022 $1619</v>
      </c>
      <c r="M459" s="14" t="str">
        <f aca="false">SUBSTITUTE(L459,"SP:","")</f>
        <v>Clothing Alice20171022 $1619</v>
      </c>
      <c r="N459" s="15" t="str">
        <f aca="false">SUBSTITUTE(M459,"201710"," 201710")</f>
        <v>Clothing Alice 20171022 $1619</v>
      </c>
      <c r="O459" s="21" t="n">
        <f aca="false">FIND(" ",N459)</f>
        <v>9</v>
      </c>
      <c r="P459" s="21" t="n">
        <f aca="false">FIND(" ",N459,O459+1)</f>
        <v>15</v>
      </c>
      <c r="Q459" s="21" t="n">
        <f aca="false">FIND(" ",N459,P459+1)</f>
        <v>24</v>
      </c>
      <c r="R459" s="26" t="str">
        <f aca="false">LEFT(N459,O459-1)</f>
        <v>Clothing</v>
      </c>
      <c r="S459" s="26" t="str">
        <f aca="false">MID(N459,O459+1,P459-O459-1)</f>
        <v>Alice</v>
      </c>
      <c r="T459" s="26" t="str">
        <f aca="false">MID(N459,P459+1,Q459-P459-1)</f>
        <v>20171022</v>
      </c>
      <c r="U459" s="26" t="n">
        <f aca="false">VALUE(MID(N459,Q459+2,90))</f>
        <v>1619</v>
      </c>
      <c r="V459" s="27" t="n">
        <f aca="false">DATE(2017,10,MID(T459,7,2))</f>
        <v>43030</v>
      </c>
    </row>
    <row r="460" customFormat="false" ht="14.25" hidden="false" customHeight="false" outlineLevel="0" collapsed="false">
      <c r="A460" s="23" t="n">
        <f aca="false">A459+1</f>
        <v>456</v>
      </c>
      <c r="B460" s="14" t="s">
        <v>474</v>
      </c>
      <c r="C460" s="21" t="n">
        <f aca="false">CODE(RIGHT(B460,1))</f>
        <v>31</v>
      </c>
      <c r="D460" s="14" t="str">
        <f aca="false">CLEAN(B460)</f>
        <v>/PR:Books_SP:David20171011  $842     </v>
      </c>
      <c r="E460" s="21" t="n">
        <f aca="false">CODE(RIGHT(D460,1))</f>
        <v>32</v>
      </c>
      <c r="F460" s="14" t="str">
        <f aca="false">SUBSTITUTE(D460,_xlfn.UNICHAR(160)," ")</f>
        <v>/PR:Books_SP:David20171011  $842     </v>
      </c>
      <c r="G460" s="14" t="str">
        <f aca="false">SUBSTITUTE(F460,"/","")</f>
        <v>PR:Books_SP:David20171011  $842     </v>
      </c>
      <c r="H460" s="14" t="str">
        <f aca="false">SUBSTITUTE(G460,"_"," ")</f>
        <v>PR:Books SP:David20171011  $842     </v>
      </c>
      <c r="I460" s="14" t="str">
        <f aca="false">TRIM(H460)</f>
        <v>PR:Books SP:David20171011 $842</v>
      </c>
      <c r="J460" s="21" t="n">
        <f aca="false">LEN(I460)</f>
        <v>30</v>
      </c>
      <c r="K460" s="21" t="n">
        <f aca="false">CODE(RIGHT(I460,1))</f>
        <v>50</v>
      </c>
      <c r="L460" s="14" t="str">
        <f aca="false">SUBSTITUTE(I460,"PR:","")</f>
        <v>Books SP:David20171011 $842</v>
      </c>
      <c r="M460" s="14" t="str">
        <f aca="false">SUBSTITUTE(L460,"SP:","")</f>
        <v>Books David20171011 $842</v>
      </c>
      <c r="N460" s="15" t="str">
        <f aca="false">SUBSTITUTE(M460,"201710"," 201710")</f>
        <v>Books David 20171011 $842</v>
      </c>
      <c r="O460" s="21" t="n">
        <f aca="false">FIND(" ",N460)</f>
        <v>6</v>
      </c>
      <c r="P460" s="21" t="n">
        <f aca="false">FIND(" ",N460,O460+1)</f>
        <v>12</v>
      </c>
      <c r="Q460" s="21" t="n">
        <f aca="false">FIND(" ",N460,P460+1)</f>
        <v>21</v>
      </c>
      <c r="R460" s="26" t="str">
        <f aca="false">LEFT(N460,O460-1)</f>
        <v>Books</v>
      </c>
      <c r="S460" s="26" t="str">
        <f aca="false">MID(N460,O460+1,P460-O460-1)</f>
        <v>David</v>
      </c>
      <c r="T460" s="26" t="str">
        <f aca="false">MID(N460,P460+1,Q460-P460-1)</f>
        <v>20171011</v>
      </c>
      <c r="U460" s="26" t="n">
        <f aca="false">VALUE(MID(N460,Q460+2,90))</f>
        <v>842</v>
      </c>
      <c r="V460" s="27" t="n">
        <f aca="false">DATE(2017,10,MID(T460,7,2))</f>
        <v>43019</v>
      </c>
    </row>
    <row r="461" customFormat="false" ht="14.25" hidden="false" customHeight="false" outlineLevel="0" collapsed="false">
      <c r="A461" s="23" t="n">
        <f aca="false">A460+1</f>
        <v>457</v>
      </c>
      <c r="B461" s="14" t="s">
        <v>475</v>
      </c>
      <c r="C461" s="21" t="n">
        <f aca="false">CODE(RIGHT(B461,1))</f>
        <v>28</v>
      </c>
      <c r="D461" s="14" t="str">
        <f aca="false">CLEAN(B461)</f>
        <v>/PR:Games__SP:Alice2017105  $2369  </v>
      </c>
      <c r="E461" s="21" t="n">
        <f aca="false">CODE(RIGHT(D461,1))</f>
        <v>32</v>
      </c>
      <c r="F461" s="14" t="str">
        <f aca="false">SUBSTITUTE(D461,_xlfn.UNICHAR(160)," ")</f>
        <v>/PR:Games__SP:Alice2017105  $2369  </v>
      </c>
      <c r="G461" s="14" t="str">
        <f aca="false">SUBSTITUTE(F461,"/","")</f>
        <v>PR:Games__SP:Alice2017105  $2369  </v>
      </c>
      <c r="H461" s="14" t="str">
        <f aca="false">SUBSTITUTE(G461,"_"," ")</f>
        <v>PR:Games  SP:Alice2017105  $2369  </v>
      </c>
      <c r="I461" s="14" t="str">
        <f aca="false">TRIM(H461)</f>
        <v>PR:Games SP:Alice2017105 $2369</v>
      </c>
      <c r="J461" s="21" t="n">
        <f aca="false">LEN(I461)</f>
        <v>30</v>
      </c>
      <c r="K461" s="21" t="n">
        <f aca="false">CODE(RIGHT(I461,1))</f>
        <v>57</v>
      </c>
      <c r="L461" s="14" t="str">
        <f aca="false">SUBSTITUTE(I461,"PR:","")</f>
        <v>Games SP:Alice2017105 $2369</v>
      </c>
      <c r="M461" s="14" t="str">
        <f aca="false">SUBSTITUTE(L461,"SP:","")</f>
        <v>Games Alice2017105 $2369</v>
      </c>
      <c r="N461" s="15" t="str">
        <f aca="false">SUBSTITUTE(M461,"201710"," 201710")</f>
        <v>Games Alice 2017105 $2369</v>
      </c>
      <c r="O461" s="21" t="n">
        <f aca="false">FIND(" ",N461)</f>
        <v>6</v>
      </c>
      <c r="P461" s="21" t="n">
        <f aca="false">FIND(" ",N461,O461+1)</f>
        <v>12</v>
      </c>
      <c r="Q461" s="21" t="n">
        <f aca="false">FIND(" ",N461,P461+1)</f>
        <v>20</v>
      </c>
      <c r="R461" s="26" t="str">
        <f aca="false">LEFT(N461,O461-1)</f>
        <v>Games</v>
      </c>
      <c r="S461" s="26" t="str">
        <f aca="false">MID(N461,O461+1,P461-O461-1)</f>
        <v>Alice</v>
      </c>
      <c r="T461" s="26" t="str">
        <f aca="false">MID(N461,P461+1,Q461-P461-1)</f>
        <v>2017105</v>
      </c>
      <c r="U461" s="26" t="n">
        <f aca="false">VALUE(MID(N461,Q461+2,90))</f>
        <v>2369</v>
      </c>
      <c r="V461" s="27" t="n">
        <f aca="false">DATE(2017,10,MID(T461,7,2))</f>
        <v>43013</v>
      </c>
    </row>
    <row r="462" customFormat="false" ht="14.25" hidden="false" customHeight="false" outlineLevel="0" collapsed="false">
      <c r="A462" s="23" t="n">
        <f aca="false">A461+1</f>
        <v>458</v>
      </c>
      <c r="B462" s="14" t="s">
        <v>476</v>
      </c>
      <c r="C462" s="21" t="n">
        <f aca="false">CODE(RIGHT(B462,1))</f>
        <v>28</v>
      </c>
      <c r="D462" s="14" t="str">
        <f aca="false">CLEAN(B462)</f>
        <v>//PR:Books__SP:Barney2017108 $981    </v>
      </c>
      <c r="E462" s="21" t="n">
        <f aca="false">CODE(RIGHT(D462,1))</f>
        <v>32</v>
      </c>
      <c r="F462" s="14" t="str">
        <f aca="false">SUBSTITUTE(D462,_xlfn.UNICHAR(160)," ")</f>
        <v>//PR:Books__SP:Barney2017108 $981    </v>
      </c>
      <c r="G462" s="14" t="str">
        <f aca="false">SUBSTITUTE(F462,"/","")</f>
        <v>PR:Books__SP:Barney2017108 $981    </v>
      </c>
      <c r="H462" s="14" t="str">
        <f aca="false">SUBSTITUTE(G462,"_"," ")</f>
        <v>PR:Books  SP:Barney2017108 $981    </v>
      </c>
      <c r="I462" s="14" t="str">
        <f aca="false">TRIM(H462)</f>
        <v>PR:Books SP:Barney2017108 $981</v>
      </c>
      <c r="J462" s="21" t="n">
        <f aca="false">LEN(I462)</f>
        <v>30</v>
      </c>
      <c r="K462" s="21" t="n">
        <f aca="false">CODE(RIGHT(I462,1))</f>
        <v>49</v>
      </c>
      <c r="L462" s="14" t="str">
        <f aca="false">SUBSTITUTE(I462,"PR:","")</f>
        <v>Books SP:Barney2017108 $981</v>
      </c>
      <c r="M462" s="14" t="str">
        <f aca="false">SUBSTITUTE(L462,"SP:","")</f>
        <v>Books Barney2017108 $981</v>
      </c>
      <c r="N462" s="15" t="str">
        <f aca="false">SUBSTITUTE(M462,"201710"," 201710")</f>
        <v>Books Barney 2017108 $981</v>
      </c>
      <c r="O462" s="21" t="n">
        <f aca="false">FIND(" ",N462)</f>
        <v>6</v>
      </c>
      <c r="P462" s="21" t="n">
        <f aca="false">FIND(" ",N462,O462+1)</f>
        <v>13</v>
      </c>
      <c r="Q462" s="21" t="n">
        <f aca="false">FIND(" ",N462,P462+1)</f>
        <v>21</v>
      </c>
      <c r="R462" s="26" t="str">
        <f aca="false">LEFT(N462,O462-1)</f>
        <v>Books</v>
      </c>
      <c r="S462" s="26" t="str">
        <f aca="false">MID(N462,O462+1,P462-O462-1)</f>
        <v>Barney</v>
      </c>
      <c r="T462" s="26" t="str">
        <f aca="false">MID(N462,P462+1,Q462-P462-1)</f>
        <v>2017108</v>
      </c>
      <c r="U462" s="26" t="n">
        <f aca="false">VALUE(MID(N462,Q462+2,90))</f>
        <v>981</v>
      </c>
      <c r="V462" s="27" t="n">
        <f aca="false">DATE(2017,10,MID(T462,7,2))</f>
        <v>43016</v>
      </c>
    </row>
    <row r="463" customFormat="false" ht="14.25" hidden="false" customHeight="false" outlineLevel="0" collapsed="false">
      <c r="A463" s="23" t="n">
        <f aca="false">A462+1</f>
        <v>459</v>
      </c>
      <c r="B463" s="14" t="s">
        <v>477</v>
      </c>
      <c r="C463" s="21" t="n">
        <f aca="false">CODE(RIGHT(B463,1))</f>
        <v>28</v>
      </c>
      <c r="D463" s="14" t="str">
        <f aca="false">CLEAN(B463)</f>
        <v>//PR:Games_____SP:Alice20171012 $2500  </v>
      </c>
      <c r="E463" s="21" t="n">
        <f aca="false">CODE(RIGHT(D463,1))</f>
        <v>32</v>
      </c>
      <c r="F463" s="14" t="str">
        <f aca="false">SUBSTITUTE(D463,_xlfn.UNICHAR(160)," ")</f>
        <v>//PR:Games_____SP:Alice20171012 $2500  </v>
      </c>
      <c r="G463" s="14" t="str">
        <f aca="false">SUBSTITUTE(F463,"/","")</f>
        <v>PR:Games_____SP:Alice20171012 $2500  </v>
      </c>
      <c r="H463" s="14" t="str">
        <f aca="false">SUBSTITUTE(G463,"_"," ")</f>
        <v>PR:Games     SP:Alice20171012 $2500  </v>
      </c>
      <c r="I463" s="14" t="str">
        <f aca="false">TRIM(H463)</f>
        <v>PR:Games SP:Alice20171012 $2500</v>
      </c>
      <c r="J463" s="21" t="n">
        <f aca="false">LEN(I463)</f>
        <v>31</v>
      </c>
      <c r="K463" s="21" t="n">
        <f aca="false">CODE(RIGHT(I463,1))</f>
        <v>48</v>
      </c>
      <c r="L463" s="14" t="str">
        <f aca="false">SUBSTITUTE(I463,"PR:","")</f>
        <v>Games SP:Alice20171012 $2500</v>
      </c>
      <c r="M463" s="14" t="str">
        <f aca="false">SUBSTITUTE(L463,"SP:","")</f>
        <v>Games Alice20171012 $2500</v>
      </c>
      <c r="N463" s="15" t="str">
        <f aca="false">SUBSTITUTE(M463,"201710"," 201710")</f>
        <v>Games Alice 20171012 $2500</v>
      </c>
      <c r="O463" s="21" t="n">
        <f aca="false">FIND(" ",N463)</f>
        <v>6</v>
      </c>
      <c r="P463" s="21" t="n">
        <f aca="false">FIND(" ",N463,O463+1)</f>
        <v>12</v>
      </c>
      <c r="Q463" s="21" t="n">
        <f aca="false">FIND(" ",N463,P463+1)</f>
        <v>21</v>
      </c>
      <c r="R463" s="26" t="str">
        <f aca="false">LEFT(N463,O463-1)</f>
        <v>Games</v>
      </c>
      <c r="S463" s="26" t="str">
        <f aca="false">MID(N463,O463+1,P463-O463-1)</f>
        <v>Alice</v>
      </c>
      <c r="T463" s="26" t="str">
        <f aca="false">MID(N463,P463+1,Q463-P463-1)</f>
        <v>20171012</v>
      </c>
      <c r="U463" s="26" t="n">
        <f aca="false">VALUE(MID(N463,Q463+2,90))</f>
        <v>2500</v>
      </c>
      <c r="V463" s="27" t="n">
        <f aca="false">DATE(2017,10,MID(T463,7,2))</f>
        <v>43020</v>
      </c>
    </row>
    <row r="464" customFormat="false" ht="14.25" hidden="false" customHeight="false" outlineLevel="0" collapsed="false">
      <c r="A464" s="23" t="n">
        <f aca="false">A463+1</f>
        <v>460</v>
      </c>
      <c r="B464" s="14" t="s">
        <v>478</v>
      </c>
      <c r="C464" s="21" t="n">
        <f aca="false">CODE(RIGHT(B464,1))</f>
        <v>29</v>
      </c>
      <c r="D464" s="14" t="str">
        <f aca="false">CLEAN(B464)</f>
        <v>///PR:Music__SP:Carol20171010     $951    </v>
      </c>
      <c r="E464" s="21" t="n">
        <f aca="false">CODE(RIGHT(D464,1))</f>
        <v>32</v>
      </c>
      <c r="F464" s="14" t="str">
        <f aca="false">SUBSTITUTE(D464,_xlfn.UNICHAR(160)," ")</f>
        <v>///PR:Music__SP:Carol20171010     $951    </v>
      </c>
      <c r="G464" s="14" t="str">
        <f aca="false">SUBSTITUTE(F464,"/","")</f>
        <v>PR:Music__SP:Carol20171010     $951    </v>
      </c>
      <c r="H464" s="14" t="str">
        <f aca="false">SUBSTITUTE(G464,"_"," ")</f>
        <v>PR:Music  SP:Carol20171010     $951    </v>
      </c>
      <c r="I464" s="14" t="str">
        <f aca="false">TRIM(H464)</f>
        <v>PR:Music SP:Carol20171010 $951</v>
      </c>
      <c r="J464" s="21" t="n">
        <f aca="false">LEN(I464)</f>
        <v>30</v>
      </c>
      <c r="K464" s="21" t="n">
        <f aca="false">CODE(RIGHT(I464,1))</f>
        <v>49</v>
      </c>
      <c r="L464" s="14" t="str">
        <f aca="false">SUBSTITUTE(I464,"PR:","")</f>
        <v>Music SP:Carol20171010 $951</v>
      </c>
      <c r="M464" s="14" t="str">
        <f aca="false">SUBSTITUTE(L464,"SP:","")</f>
        <v>Music Carol20171010 $951</v>
      </c>
      <c r="N464" s="15" t="str">
        <f aca="false">SUBSTITUTE(M464,"201710"," 201710")</f>
        <v>Music Carol 20171010 $951</v>
      </c>
      <c r="O464" s="21" t="n">
        <f aca="false">FIND(" ",N464)</f>
        <v>6</v>
      </c>
      <c r="P464" s="21" t="n">
        <f aca="false">FIND(" ",N464,O464+1)</f>
        <v>12</v>
      </c>
      <c r="Q464" s="21" t="n">
        <f aca="false">FIND(" ",N464,P464+1)</f>
        <v>21</v>
      </c>
      <c r="R464" s="26" t="str">
        <f aca="false">LEFT(N464,O464-1)</f>
        <v>Music</v>
      </c>
      <c r="S464" s="26" t="str">
        <f aca="false">MID(N464,O464+1,P464-O464-1)</f>
        <v>Carol</v>
      </c>
      <c r="T464" s="26" t="str">
        <f aca="false">MID(N464,P464+1,Q464-P464-1)</f>
        <v>20171010</v>
      </c>
      <c r="U464" s="26" t="n">
        <f aca="false">VALUE(MID(N464,Q464+2,90))</f>
        <v>951</v>
      </c>
      <c r="V464" s="27" t="n">
        <f aca="false">DATE(2017,10,MID(T464,7,2))</f>
        <v>43018</v>
      </c>
    </row>
    <row r="465" customFormat="false" ht="14.25" hidden="false" customHeight="false" outlineLevel="0" collapsed="false">
      <c r="A465" s="23" t="n">
        <f aca="false">A464+1</f>
        <v>461</v>
      </c>
      <c r="B465" s="14" t="s">
        <v>479</v>
      </c>
      <c r="C465" s="21" t="n">
        <f aca="false">CODE(RIGHT(B465,1))</f>
        <v>29</v>
      </c>
      <c r="D465" s="14" t="str">
        <f aca="false">CLEAN(B465)</f>
        <v>//PR:Music____SP:David20171016 $1330 </v>
      </c>
      <c r="E465" s="21" t="n">
        <f aca="false">CODE(RIGHT(D465,1))</f>
        <v>32</v>
      </c>
      <c r="F465" s="14" t="str">
        <f aca="false">SUBSTITUTE(D465,_xlfn.UNICHAR(160)," ")</f>
        <v>//PR:Music____SP:David20171016 $1330 </v>
      </c>
      <c r="G465" s="14" t="str">
        <f aca="false">SUBSTITUTE(F465,"/","")</f>
        <v>PR:Music____SP:David20171016 $1330 </v>
      </c>
      <c r="H465" s="14" t="str">
        <f aca="false">SUBSTITUTE(G465,"_"," ")</f>
        <v>PR:Music    SP:David20171016 $1330 </v>
      </c>
      <c r="I465" s="14" t="str">
        <f aca="false">TRIM(H465)</f>
        <v>PR:Music SP:David20171016 $1330</v>
      </c>
      <c r="J465" s="21" t="n">
        <f aca="false">LEN(I465)</f>
        <v>31</v>
      </c>
      <c r="K465" s="21" t="n">
        <f aca="false">CODE(RIGHT(I465,1))</f>
        <v>48</v>
      </c>
      <c r="L465" s="14" t="str">
        <f aca="false">SUBSTITUTE(I465,"PR:","")</f>
        <v>Music SP:David20171016 $1330</v>
      </c>
      <c r="M465" s="14" t="str">
        <f aca="false">SUBSTITUTE(L465,"SP:","")</f>
        <v>Music David20171016 $1330</v>
      </c>
      <c r="N465" s="15" t="str">
        <f aca="false">SUBSTITUTE(M465,"201710"," 201710")</f>
        <v>Music David 20171016 $1330</v>
      </c>
      <c r="O465" s="21" t="n">
        <f aca="false">FIND(" ",N465)</f>
        <v>6</v>
      </c>
      <c r="P465" s="21" t="n">
        <f aca="false">FIND(" ",N465,O465+1)</f>
        <v>12</v>
      </c>
      <c r="Q465" s="21" t="n">
        <f aca="false">FIND(" ",N465,P465+1)</f>
        <v>21</v>
      </c>
      <c r="R465" s="26" t="str">
        <f aca="false">LEFT(N465,O465-1)</f>
        <v>Music</v>
      </c>
      <c r="S465" s="26" t="str">
        <f aca="false">MID(N465,O465+1,P465-O465-1)</f>
        <v>David</v>
      </c>
      <c r="T465" s="26" t="str">
        <f aca="false">MID(N465,P465+1,Q465-P465-1)</f>
        <v>20171016</v>
      </c>
      <c r="U465" s="26" t="n">
        <f aca="false">VALUE(MID(N465,Q465+2,90))</f>
        <v>1330</v>
      </c>
      <c r="V465" s="27" t="n">
        <f aca="false">DATE(2017,10,MID(T465,7,2))</f>
        <v>43024</v>
      </c>
    </row>
    <row r="466" customFormat="false" ht="14.25" hidden="false" customHeight="false" outlineLevel="0" collapsed="false">
      <c r="A466" s="23" t="n">
        <f aca="false">A465+1</f>
        <v>462</v>
      </c>
      <c r="B466" s="14" t="s">
        <v>480</v>
      </c>
      <c r="C466" s="21" t="n">
        <f aca="false">CODE(RIGHT(B466,1))</f>
        <v>29</v>
      </c>
      <c r="D466" s="14" t="str">
        <f aca="false">CLEAN(B466)</f>
        <v>//PR:Games_SP:Carol20171017     $2487    </v>
      </c>
      <c r="E466" s="21" t="n">
        <f aca="false">CODE(RIGHT(D466,1))</f>
        <v>32</v>
      </c>
      <c r="F466" s="14" t="str">
        <f aca="false">SUBSTITUTE(D466,_xlfn.UNICHAR(160)," ")</f>
        <v>//PR:Games_SP:Carol20171017     $2487    </v>
      </c>
      <c r="G466" s="14" t="str">
        <f aca="false">SUBSTITUTE(F466,"/","")</f>
        <v>PR:Games_SP:Carol20171017     $2487    </v>
      </c>
      <c r="H466" s="14" t="str">
        <f aca="false">SUBSTITUTE(G466,"_"," ")</f>
        <v>PR:Games SP:Carol20171017     $2487    </v>
      </c>
      <c r="I466" s="14" t="str">
        <f aca="false">TRIM(H466)</f>
        <v>PR:Games SP:Carol20171017 $2487</v>
      </c>
      <c r="J466" s="21" t="n">
        <f aca="false">LEN(I466)</f>
        <v>31</v>
      </c>
      <c r="K466" s="21" t="n">
        <f aca="false">CODE(RIGHT(I466,1))</f>
        <v>55</v>
      </c>
      <c r="L466" s="14" t="str">
        <f aca="false">SUBSTITUTE(I466,"PR:","")</f>
        <v>Games SP:Carol20171017 $2487</v>
      </c>
      <c r="M466" s="14" t="str">
        <f aca="false">SUBSTITUTE(L466,"SP:","")</f>
        <v>Games Carol20171017 $2487</v>
      </c>
      <c r="N466" s="15" t="str">
        <f aca="false">SUBSTITUTE(M466,"201710"," 201710")</f>
        <v>Games Carol 20171017 $2487</v>
      </c>
      <c r="O466" s="21" t="n">
        <f aca="false">FIND(" ",N466)</f>
        <v>6</v>
      </c>
      <c r="P466" s="21" t="n">
        <f aca="false">FIND(" ",N466,O466+1)</f>
        <v>12</v>
      </c>
      <c r="Q466" s="21" t="n">
        <f aca="false">FIND(" ",N466,P466+1)</f>
        <v>21</v>
      </c>
      <c r="R466" s="26" t="str">
        <f aca="false">LEFT(N466,O466-1)</f>
        <v>Games</v>
      </c>
      <c r="S466" s="26" t="str">
        <f aca="false">MID(N466,O466+1,P466-O466-1)</f>
        <v>Carol</v>
      </c>
      <c r="T466" s="26" t="str">
        <f aca="false">MID(N466,P466+1,Q466-P466-1)</f>
        <v>20171017</v>
      </c>
      <c r="U466" s="26" t="n">
        <f aca="false">VALUE(MID(N466,Q466+2,90))</f>
        <v>2487</v>
      </c>
      <c r="V466" s="27" t="n">
        <f aca="false">DATE(2017,10,MID(T466,7,2))</f>
        <v>43025</v>
      </c>
    </row>
    <row r="467" customFormat="false" ht="14.25" hidden="false" customHeight="false" outlineLevel="0" collapsed="false">
      <c r="A467" s="23" t="n">
        <f aca="false">A466+1</f>
        <v>463</v>
      </c>
      <c r="B467" s="14" t="s">
        <v>481</v>
      </c>
      <c r="C467" s="21" t="n">
        <f aca="false">CODE(RIGHT(B467,1))</f>
        <v>30</v>
      </c>
      <c r="D467" s="14" t="str">
        <f aca="false">CLEAN(B467)</f>
        <v>/PR:Music___SP:Carol20171029   $1464   </v>
      </c>
      <c r="E467" s="21" t="n">
        <f aca="false">CODE(RIGHT(D467,1))</f>
        <v>32</v>
      </c>
      <c r="F467" s="14" t="str">
        <f aca="false">SUBSTITUTE(D467,_xlfn.UNICHAR(160)," ")</f>
        <v>/PR:Music___SP:Carol20171029   $1464   </v>
      </c>
      <c r="G467" s="14" t="str">
        <f aca="false">SUBSTITUTE(F467,"/","")</f>
        <v>PR:Music___SP:Carol20171029   $1464   </v>
      </c>
      <c r="H467" s="14" t="str">
        <f aca="false">SUBSTITUTE(G467,"_"," ")</f>
        <v>PR:Music   SP:Carol20171029   $1464   </v>
      </c>
      <c r="I467" s="14" t="str">
        <f aca="false">TRIM(H467)</f>
        <v>PR:Music SP:Carol20171029 $1464</v>
      </c>
      <c r="J467" s="21" t="n">
        <f aca="false">LEN(I467)</f>
        <v>31</v>
      </c>
      <c r="K467" s="21" t="n">
        <f aca="false">CODE(RIGHT(I467,1))</f>
        <v>52</v>
      </c>
      <c r="L467" s="14" t="str">
        <f aca="false">SUBSTITUTE(I467,"PR:","")</f>
        <v>Music SP:Carol20171029 $1464</v>
      </c>
      <c r="M467" s="14" t="str">
        <f aca="false">SUBSTITUTE(L467,"SP:","")</f>
        <v>Music Carol20171029 $1464</v>
      </c>
      <c r="N467" s="15" t="str">
        <f aca="false">SUBSTITUTE(M467,"201710"," 201710")</f>
        <v>Music Carol 20171029 $1464</v>
      </c>
      <c r="O467" s="21" t="n">
        <f aca="false">FIND(" ",N467)</f>
        <v>6</v>
      </c>
      <c r="P467" s="21" t="n">
        <f aca="false">FIND(" ",N467,O467+1)</f>
        <v>12</v>
      </c>
      <c r="Q467" s="21" t="n">
        <f aca="false">FIND(" ",N467,P467+1)</f>
        <v>21</v>
      </c>
      <c r="R467" s="26" t="str">
        <f aca="false">LEFT(N467,O467-1)</f>
        <v>Music</v>
      </c>
      <c r="S467" s="26" t="str">
        <f aca="false">MID(N467,O467+1,P467-O467-1)</f>
        <v>Carol</v>
      </c>
      <c r="T467" s="26" t="str">
        <f aca="false">MID(N467,P467+1,Q467-P467-1)</f>
        <v>20171029</v>
      </c>
      <c r="U467" s="26" t="n">
        <f aca="false">VALUE(MID(N467,Q467+2,90))</f>
        <v>1464</v>
      </c>
      <c r="V467" s="27" t="n">
        <f aca="false">DATE(2017,10,MID(T467,7,2))</f>
        <v>43037</v>
      </c>
    </row>
    <row r="468" customFormat="false" ht="14.25" hidden="false" customHeight="false" outlineLevel="0" collapsed="false">
      <c r="A468" s="23" t="n">
        <f aca="false">A467+1</f>
        <v>464</v>
      </c>
      <c r="B468" s="14" t="s">
        <v>482</v>
      </c>
      <c r="C468" s="21" t="n">
        <f aca="false">CODE(RIGHT(B468,1))</f>
        <v>29</v>
      </c>
      <c r="D468" s="14" t="str">
        <f aca="false">CLEAN(B468)</f>
        <v>///PR:Books____SP:David2017101  $0   </v>
      </c>
      <c r="E468" s="21" t="n">
        <f aca="false">CODE(RIGHT(D468,1))</f>
        <v>32</v>
      </c>
      <c r="F468" s="14" t="str">
        <f aca="false">SUBSTITUTE(D468,_xlfn.UNICHAR(160)," ")</f>
        <v>///PR:Books____SP:David2017101  $0   </v>
      </c>
      <c r="G468" s="14" t="str">
        <f aca="false">SUBSTITUTE(F468,"/","")</f>
        <v>PR:Books____SP:David2017101  $0   </v>
      </c>
      <c r="H468" s="14" t="str">
        <f aca="false">SUBSTITUTE(G468,"_"," ")</f>
        <v>PR:Books    SP:David2017101  $0   </v>
      </c>
      <c r="I468" s="14" t="str">
        <f aca="false">TRIM(H468)</f>
        <v>PR:Books SP:David2017101 $0</v>
      </c>
      <c r="J468" s="21" t="n">
        <f aca="false">LEN(I468)</f>
        <v>27</v>
      </c>
      <c r="K468" s="21" t="n">
        <f aca="false">CODE(RIGHT(I468,1))</f>
        <v>48</v>
      </c>
      <c r="L468" s="14" t="str">
        <f aca="false">SUBSTITUTE(I468,"PR:","")</f>
        <v>Books SP:David2017101 $0</v>
      </c>
      <c r="M468" s="14" t="str">
        <f aca="false">SUBSTITUTE(L468,"SP:","")</f>
        <v>Books David2017101 $0</v>
      </c>
      <c r="N468" s="15" t="str">
        <f aca="false">SUBSTITUTE(M468,"201710"," 201710")</f>
        <v>Books David 2017101 $0</v>
      </c>
      <c r="O468" s="21" t="n">
        <f aca="false">FIND(" ",N468)</f>
        <v>6</v>
      </c>
      <c r="P468" s="21" t="n">
        <f aca="false">FIND(" ",N468,O468+1)</f>
        <v>12</v>
      </c>
      <c r="Q468" s="21" t="n">
        <f aca="false">FIND(" ",N468,P468+1)</f>
        <v>20</v>
      </c>
      <c r="R468" s="26" t="str">
        <f aca="false">LEFT(N468,O468-1)</f>
        <v>Books</v>
      </c>
      <c r="S468" s="26" t="str">
        <f aca="false">MID(N468,O468+1,P468-O468-1)</f>
        <v>David</v>
      </c>
      <c r="T468" s="26" t="str">
        <f aca="false">MID(N468,P468+1,Q468-P468-1)</f>
        <v>2017101</v>
      </c>
      <c r="U468" s="26" t="n">
        <f aca="false">VALUE(MID(N468,Q468+2,90))</f>
        <v>0</v>
      </c>
      <c r="V468" s="27" t="n">
        <f aca="false">DATE(2017,10,MID(T468,7,2))</f>
        <v>43009</v>
      </c>
    </row>
    <row r="469" customFormat="false" ht="14.25" hidden="false" customHeight="false" outlineLevel="0" collapsed="false">
      <c r="A469" s="23" t="n">
        <f aca="false">A468+1</f>
        <v>465</v>
      </c>
      <c r="B469" s="14" t="s">
        <v>483</v>
      </c>
      <c r="C469" s="21" t="n">
        <f aca="false">CODE(RIGHT(B469,1))</f>
        <v>29</v>
      </c>
      <c r="D469" s="14" t="str">
        <f aca="false">CLEAN(B469)</f>
        <v>/PR:Games_____SP:Alice20171013 $1045 </v>
      </c>
      <c r="E469" s="21" t="n">
        <f aca="false">CODE(RIGHT(D469,1))</f>
        <v>32</v>
      </c>
      <c r="F469" s="14" t="str">
        <f aca="false">SUBSTITUTE(D469,_xlfn.UNICHAR(160)," ")</f>
        <v>/PR:Games_____SP:Alice20171013 $1045 </v>
      </c>
      <c r="G469" s="14" t="str">
        <f aca="false">SUBSTITUTE(F469,"/","")</f>
        <v>PR:Games_____SP:Alice20171013 $1045 </v>
      </c>
      <c r="H469" s="14" t="str">
        <f aca="false">SUBSTITUTE(G469,"_"," ")</f>
        <v>PR:Games     SP:Alice20171013 $1045 </v>
      </c>
      <c r="I469" s="14" t="str">
        <f aca="false">TRIM(H469)</f>
        <v>PR:Games SP:Alice20171013 $1045</v>
      </c>
      <c r="J469" s="21" t="n">
        <f aca="false">LEN(I469)</f>
        <v>31</v>
      </c>
      <c r="K469" s="21" t="n">
        <f aca="false">CODE(RIGHT(I469,1))</f>
        <v>53</v>
      </c>
      <c r="L469" s="14" t="str">
        <f aca="false">SUBSTITUTE(I469,"PR:","")</f>
        <v>Games SP:Alice20171013 $1045</v>
      </c>
      <c r="M469" s="14" t="str">
        <f aca="false">SUBSTITUTE(L469,"SP:","")</f>
        <v>Games Alice20171013 $1045</v>
      </c>
      <c r="N469" s="15" t="str">
        <f aca="false">SUBSTITUTE(M469,"201710"," 201710")</f>
        <v>Games Alice 20171013 $1045</v>
      </c>
      <c r="O469" s="21" t="n">
        <f aca="false">FIND(" ",N469)</f>
        <v>6</v>
      </c>
      <c r="P469" s="21" t="n">
        <f aca="false">FIND(" ",N469,O469+1)</f>
        <v>12</v>
      </c>
      <c r="Q469" s="21" t="n">
        <f aca="false">FIND(" ",N469,P469+1)</f>
        <v>21</v>
      </c>
      <c r="R469" s="26" t="str">
        <f aca="false">LEFT(N469,O469-1)</f>
        <v>Games</v>
      </c>
      <c r="S469" s="26" t="str">
        <f aca="false">MID(N469,O469+1,P469-O469-1)</f>
        <v>Alice</v>
      </c>
      <c r="T469" s="26" t="str">
        <f aca="false">MID(N469,P469+1,Q469-P469-1)</f>
        <v>20171013</v>
      </c>
      <c r="U469" s="26" t="n">
        <f aca="false">VALUE(MID(N469,Q469+2,90))</f>
        <v>1045</v>
      </c>
      <c r="V469" s="27" t="n">
        <f aca="false">DATE(2017,10,MID(T469,7,2))</f>
        <v>43021</v>
      </c>
    </row>
    <row r="470" customFormat="false" ht="14.25" hidden="false" customHeight="false" outlineLevel="0" collapsed="false">
      <c r="A470" s="23" t="n">
        <f aca="false">A469+1</f>
        <v>466</v>
      </c>
      <c r="B470" s="14" t="s">
        <v>484</v>
      </c>
      <c r="C470" s="21" t="n">
        <f aca="false">CODE(RIGHT(B470,1))</f>
        <v>30</v>
      </c>
      <c r="D470" s="14" t="str">
        <f aca="false">CLEAN(B470)</f>
        <v>////PR:Games_____SP:Alice20171015 $0   </v>
      </c>
      <c r="E470" s="21" t="n">
        <f aca="false">CODE(RIGHT(D470,1))</f>
        <v>32</v>
      </c>
      <c r="F470" s="14" t="str">
        <f aca="false">SUBSTITUTE(D470,_xlfn.UNICHAR(160)," ")</f>
        <v>////PR:Games_____SP:Alice20171015 $0   </v>
      </c>
      <c r="G470" s="14" t="str">
        <f aca="false">SUBSTITUTE(F470,"/","")</f>
        <v>PR:Games_____SP:Alice20171015 $0   </v>
      </c>
      <c r="H470" s="14" t="str">
        <f aca="false">SUBSTITUTE(G470,"_"," ")</f>
        <v>PR:Games     SP:Alice20171015 $0   </v>
      </c>
      <c r="I470" s="14" t="str">
        <f aca="false">TRIM(H470)</f>
        <v>PR:Games SP:Alice20171015 $0</v>
      </c>
      <c r="J470" s="21" t="n">
        <f aca="false">LEN(I470)</f>
        <v>28</v>
      </c>
      <c r="K470" s="21" t="n">
        <f aca="false">CODE(RIGHT(I470,1))</f>
        <v>48</v>
      </c>
      <c r="L470" s="14" t="str">
        <f aca="false">SUBSTITUTE(I470,"PR:","")</f>
        <v>Games SP:Alice20171015 $0</v>
      </c>
      <c r="M470" s="14" t="str">
        <f aca="false">SUBSTITUTE(L470,"SP:","")</f>
        <v>Games Alice20171015 $0</v>
      </c>
      <c r="N470" s="15" t="str">
        <f aca="false">SUBSTITUTE(M470,"201710"," 201710")</f>
        <v>Games Alice 20171015 $0</v>
      </c>
      <c r="O470" s="21" t="n">
        <f aca="false">FIND(" ",N470)</f>
        <v>6</v>
      </c>
      <c r="P470" s="21" t="n">
        <f aca="false">FIND(" ",N470,O470+1)</f>
        <v>12</v>
      </c>
      <c r="Q470" s="21" t="n">
        <f aca="false">FIND(" ",N470,P470+1)</f>
        <v>21</v>
      </c>
      <c r="R470" s="26" t="str">
        <f aca="false">LEFT(N470,O470-1)</f>
        <v>Games</v>
      </c>
      <c r="S470" s="26" t="str">
        <f aca="false">MID(N470,O470+1,P470-O470-1)</f>
        <v>Alice</v>
      </c>
      <c r="T470" s="26" t="str">
        <f aca="false">MID(N470,P470+1,Q470-P470-1)</f>
        <v>20171015</v>
      </c>
      <c r="U470" s="26" t="n">
        <f aca="false">VALUE(MID(N470,Q470+2,90))</f>
        <v>0</v>
      </c>
      <c r="V470" s="27" t="n">
        <f aca="false">DATE(2017,10,MID(T470,7,2))</f>
        <v>43023</v>
      </c>
    </row>
    <row r="471" customFormat="false" ht="14.25" hidden="false" customHeight="false" outlineLevel="0" collapsed="false">
      <c r="A471" s="23" t="n">
        <f aca="false">A470+1</f>
        <v>467</v>
      </c>
      <c r="B471" s="14" t="s">
        <v>485</v>
      </c>
      <c r="C471" s="21" t="n">
        <f aca="false">CODE(RIGHT(B471,1))</f>
        <v>31</v>
      </c>
      <c r="D471" s="14" t="str">
        <f aca="false">CLEAN(B471)</f>
        <v>/////PR:Books___SP:Alice2017107 $0  </v>
      </c>
      <c r="E471" s="21" t="n">
        <f aca="false">CODE(RIGHT(D471,1))</f>
        <v>32</v>
      </c>
      <c r="F471" s="14" t="str">
        <f aca="false">SUBSTITUTE(D471,_xlfn.UNICHAR(160)," ")</f>
        <v>/////PR:Books___SP:Alice2017107 $0  </v>
      </c>
      <c r="G471" s="14" t="str">
        <f aca="false">SUBSTITUTE(F471,"/","")</f>
        <v>PR:Books___SP:Alice2017107 $0  </v>
      </c>
      <c r="H471" s="14" t="str">
        <f aca="false">SUBSTITUTE(G471,"_"," ")</f>
        <v>PR:Books   SP:Alice2017107 $0  </v>
      </c>
      <c r="I471" s="14" t="str">
        <f aca="false">TRIM(H471)</f>
        <v>PR:Books SP:Alice2017107 $0</v>
      </c>
      <c r="J471" s="21" t="n">
        <f aca="false">LEN(I471)</f>
        <v>27</v>
      </c>
      <c r="K471" s="21" t="n">
        <f aca="false">CODE(RIGHT(I471,1))</f>
        <v>48</v>
      </c>
      <c r="L471" s="14" t="str">
        <f aca="false">SUBSTITUTE(I471,"PR:","")</f>
        <v>Books SP:Alice2017107 $0</v>
      </c>
      <c r="M471" s="14" t="str">
        <f aca="false">SUBSTITUTE(L471,"SP:","")</f>
        <v>Books Alice2017107 $0</v>
      </c>
      <c r="N471" s="15" t="str">
        <f aca="false">SUBSTITUTE(M471,"201710"," 201710")</f>
        <v>Books Alice 2017107 $0</v>
      </c>
      <c r="O471" s="21" t="n">
        <f aca="false">FIND(" ",N471)</f>
        <v>6</v>
      </c>
      <c r="P471" s="21" t="n">
        <f aca="false">FIND(" ",N471,O471+1)</f>
        <v>12</v>
      </c>
      <c r="Q471" s="21" t="n">
        <f aca="false">FIND(" ",N471,P471+1)</f>
        <v>20</v>
      </c>
      <c r="R471" s="26" t="str">
        <f aca="false">LEFT(N471,O471-1)</f>
        <v>Books</v>
      </c>
      <c r="S471" s="26" t="str">
        <f aca="false">MID(N471,O471+1,P471-O471-1)</f>
        <v>Alice</v>
      </c>
      <c r="T471" s="26" t="str">
        <f aca="false">MID(N471,P471+1,Q471-P471-1)</f>
        <v>2017107</v>
      </c>
      <c r="U471" s="26" t="n">
        <f aca="false">VALUE(MID(N471,Q471+2,90))</f>
        <v>0</v>
      </c>
      <c r="V471" s="27" t="n">
        <f aca="false">DATE(2017,10,MID(T471,7,2))</f>
        <v>43015</v>
      </c>
    </row>
    <row r="472" customFormat="false" ht="14.25" hidden="false" customHeight="false" outlineLevel="0" collapsed="false">
      <c r="A472" s="23" t="n">
        <f aca="false">A471+1</f>
        <v>468</v>
      </c>
      <c r="B472" s="14" t="s">
        <v>486</v>
      </c>
      <c r="C472" s="21" t="n">
        <f aca="false">CODE(RIGHT(B472,1))</f>
        <v>28</v>
      </c>
      <c r="D472" s="14" t="str">
        <f aca="false">CLEAN(B472)</f>
        <v>//PR:Clothing__SP:David20171022  $0   </v>
      </c>
      <c r="E472" s="21" t="n">
        <f aca="false">CODE(RIGHT(D472,1))</f>
        <v>32</v>
      </c>
      <c r="F472" s="14" t="str">
        <f aca="false">SUBSTITUTE(D472,_xlfn.UNICHAR(160)," ")</f>
        <v>//PR:Clothing__SP:David20171022  $0   </v>
      </c>
      <c r="G472" s="14" t="str">
        <f aca="false">SUBSTITUTE(F472,"/","")</f>
        <v>PR:Clothing__SP:David20171022  $0   </v>
      </c>
      <c r="H472" s="14" t="str">
        <f aca="false">SUBSTITUTE(G472,"_"," ")</f>
        <v>PR:Clothing  SP:David20171022  $0   </v>
      </c>
      <c r="I472" s="14" t="str">
        <f aca="false">TRIM(H472)</f>
        <v>PR:Clothing SP:David20171022 $0</v>
      </c>
      <c r="J472" s="21" t="n">
        <f aca="false">LEN(I472)</f>
        <v>31</v>
      </c>
      <c r="K472" s="21" t="n">
        <f aca="false">CODE(RIGHT(I472,1))</f>
        <v>48</v>
      </c>
      <c r="L472" s="14" t="str">
        <f aca="false">SUBSTITUTE(I472,"PR:","")</f>
        <v>Clothing SP:David20171022 $0</v>
      </c>
      <c r="M472" s="14" t="str">
        <f aca="false">SUBSTITUTE(L472,"SP:","")</f>
        <v>Clothing David20171022 $0</v>
      </c>
      <c r="N472" s="15" t="str">
        <f aca="false">SUBSTITUTE(M472,"201710"," 201710")</f>
        <v>Clothing David 20171022 $0</v>
      </c>
      <c r="O472" s="21" t="n">
        <f aca="false">FIND(" ",N472)</f>
        <v>9</v>
      </c>
      <c r="P472" s="21" t="n">
        <f aca="false">FIND(" ",N472,O472+1)</f>
        <v>15</v>
      </c>
      <c r="Q472" s="21" t="n">
        <f aca="false">FIND(" ",N472,P472+1)</f>
        <v>24</v>
      </c>
      <c r="R472" s="26" t="str">
        <f aca="false">LEFT(N472,O472-1)</f>
        <v>Clothing</v>
      </c>
      <c r="S472" s="26" t="str">
        <f aca="false">MID(N472,O472+1,P472-O472-1)</f>
        <v>David</v>
      </c>
      <c r="T472" s="26" t="str">
        <f aca="false">MID(N472,P472+1,Q472-P472-1)</f>
        <v>20171022</v>
      </c>
      <c r="U472" s="26" t="n">
        <f aca="false">VALUE(MID(N472,Q472+2,90))</f>
        <v>0</v>
      </c>
      <c r="V472" s="27" t="n">
        <f aca="false">DATE(2017,10,MID(T472,7,2))</f>
        <v>43030</v>
      </c>
    </row>
    <row r="473" customFormat="false" ht="14.25" hidden="false" customHeight="false" outlineLevel="0" collapsed="false">
      <c r="A473" s="23" t="n">
        <f aca="false">A472+1</f>
        <v>469</v>
      </c>
      <c r="B473" s="14" t="s">
        <v>487</v>
      </c>
      <c r="C473" s="21" t="n">
        <f aca="false">CODE(RIGHT(B473,1))</f>
        <v>30</v>
      </c>
      <c r="D473" s="14" t="str">
        <f aca="false">CLEAN(B473)</f>
        <v>/PR:Games___SP:Alice2017102    $0     </v>
      </c>
      <c r="E473" s="21" t="n">
        <f aca="false">CODE(RIGHT(D473,1))</f>
        <v>32</v>
      </c>
      <c r="F473" s="14" t="str">
        <f aca="false">SUBSTITUTE(D473,_xlfn.UNICHAR(160)," ")</f>
        <v>/PR:Games___SP:Alice2017102    $0     </v>
      </c>
      <c r="G473" s="14" t="str">
        <f aca="false">SUBSTITUTE(F473,"/","")</f>
        <v>PR:Games___SP:Alice2017102    $0     </v>
      </c>
      <c r="H473" s="14" t="str">
        <f aca="false">SUBSTITUTE(G473,"_"," ")</f>
        <v>PR:Games   SP:Alice2017102    $0     </v>
      </c>
      <c r="I473" s="14" t="str">
        <f aca="false">TRIM(H473)</f>
        <v>PR:Games SP:Alice2017102 $0</v>
      </c>
      <c r="J473" s="21" t="n">
        <f aca="false">LEN(I473)</f>
        <v>27</v>
      </c>
      <c r="K473" s="21" t="n">
        <f aca="false">CODE(RIGHT(I473,1))</f>
        <v>48</v>
      </c>
      <c r="L473" s="14" t="str">
        <f aca="false">SUBSTITUTE(I473,"PR:","")</f>
        <v>Games SP:Alice2017102 $0</v>
      </c>
      <c r="M473" s="14" t="str">
        <f aca="false">SUBSTITUTE(L473,"SP:","")</f>
        <v>Games Alice2017102 $0</v>
      </c>
      <c r="N473" s="15" t="str">
        <f aca="false">SUBSTITUTE(M473,"201710"," 201710")</f>
        <v>Games Alice 2017102 $0</v>
      </c>
      <c r="O473" s="21" t="n">
        <f aca="false">FIND(" ",N473)</f>
        <v>6</v>
      </c>
      <c r="P473" s="21" t="n">
        <f aca="false">FIND(" ",N473,O473+1)</f>
        <v>12</v>
      </c>
      <c r="Q473" s="21" t="n">
        <f aca="false">FIND(" ",N473,P473+1)</f>
        <v>20</v>
      </c>
      <c r="R473" s="26" t="str">
        <f aca="false">LEFT(N473,O473-1)</f>
        <v>Games</v>
      </c>
      <c r="S473" s="26" t="str">
        <f aca="false">MID(N473,O473+1,P473-O473-1)</f>
        <v>Alice</v>
      </c>
      <c r="T473" s="26" t="str">
        <f aca="false">MID(N473,P473+1,Q473-P473-1)</f>
        <v>2017102</v>
      </c>
      <c r="U473" s="26" t="n">
        <f aca="false">VALUE(MID(N473,Q473+2,90))</f>
        <v>0</v>
      </c>
      <c r="V473" s="27" t="n">
        <f aca="false">DATE(2017,10,MID(T473,7,2))</f>
        <v>43010</v>
      </c>
    </row>
    <row r="474" customFormat="false" ht="14.25" hidden="false" customHeight="false" outlineLevel="0" collapsed="false">
      <c r="A474" s="23" t="n">
        <f aca="false">A473+1</f>
        <v>470</v>
      </c>
      <c r="B474" s="14" t="s">
        <v>488</v>
      </c>
      <c r="C474" s="21" t="n">
        <f aca="false">CODE(RIGHT(B474,1))</f>
        <v>31</v>
      </c>
      <c r="D474" s="14" t="str">
        <f aca="false">CLEAN(B474)</f>
        <v>/PR:Clothing___SP:Alice20171028 $1021     </v>
      </c>
      <c r="E474" s="21" t="n">
        <f aca="false">CODE(RIGHT(D474,1))</f>
        <v>32</v>
      </c>
      <c r="F474" s="14" t="str">
        <f aca="false">SUBSTITUTE(D474,_xlfn.UNICHAR(160)," ")</f>
        <v>/PR:Clothing___SP:Alice20171028 $1021     </v>
      </c>
      <c r="G474" s="14" t="str">
        <f aca="false">SUBSTITUTE(F474,"/","")</f>
        <v>PR:Clothing___SP:Alice20171028 $1021     </v>
      </c>
      <c r="H474" s="14" t="str">
        <f aca="false">SUBSTITUTE(G474,"_"," ")</f>
        <v>PR:Clothing   SP:Alice20171028 $1021     </v>
      </c>
      <c r="I474" s="14" t="str">
        <f aca="false">TRIM(H474)</f>
        <v>PR:Clothing SP:Alice20171028 $1021</v>
      </c>
      <c r="J474" s="21" t="n">
        <f aca="false">LEN(I474)</f>
        <v>34</v>
      </c>
      <c r="K474" s="21" t="n">
        <f aca="false">CODE(RIGHT(I474,1))</f>
        <v>49</v>
      </c>
      <c r="L474" s="14" t="str">
        <f aca="false">SUBSTITUTE(I474,"PR:","")</f>
        <v>Clothing SP:Alice20171028 $1021</v>
      </c>
      <c r="M474" s="14" t="str">
        <f aca="false">SUBSTITUTE(L474,"SP:","")</f>
        <v>Clothing Alice20171028 $1021</v>
      </c>
      <c r="N474" s="15" t="str">
        <f aca="false">SUBSTITUTE(M474,"201710"," 201710")</f>
        <v>Clothing Alice 20171028 $1021</v>
      </c>
      <c r="O474" s="21" t="n">
        <f aca="false">FIND(" ",N474)</f>
        <v>9</v>
      </c>
      <c r="P474" s="21" t="n">
        <f aca="false">FIND(" ",N474,O474+1)</f>
        <v>15</v>
      </c>
      <c r="Q474" s="21" t="n">
        <f aca="false">FIND(" ",N474,P474+1)</f>
        <v>24</v>
      </c>
      <c r="R474" s="26" t="str">
        <f aca="false">LEFT(N474,O474-1)</f>
        <v>Clothing</v>
      </c>
      <c r="S474" s="26" t="str">
        <f aca="false">MID(N474,O474+1,P474-O474-1)</f>
        <v>Alice</v>
      </c>
      <c r="T474" s="26" t="str">
        <f aca="false">MID(N474,P474+1,Q474-P474-1)</f>
        <v>20171028</v>
      </c>
      <c r="U474" s="26" t="n">
        <f aca="false">VALUE(MID(N474,Q474+2,90))</f>
        <v>1021</v>
      </c>
      <c r="V474" s="27" t="n">
        <f aca="false">DATE(2017,10,MID(T474,7,2))</f>
        <v>43036</v>
      </c>
    </row>
    <row r="475" customFormat="false" ht="14.25" hidden="false" customHeight="false" outlineLevel="0" collapsed="false">
      <c r="A475" s="23" t="n">
        <f aca="false">A474+1</f>
        <v>471</v>
      </c>
      <c r="B475" s="14" t="s">
        <v>489</v>
      </c>
      <c r="C475" s="21" t="n">
        <f aca="false">CODE(RIGHT(B475,1))</f>
        <v>31</v>
      </c>
      <c r="D475" s="14" t="str">
        <f aca="false">CLEAN(B475)</f>
        <v>/PR:Games____SP:Alice20171028   $1887    </v>
      </c>
      <c r="E475" s="21" t="n">
        <f aca="false">CODE(RIGHT(D475,1))</f>
        <v>32</v>
      </c>
      <c r="F475" s="14" t="str">
        <f aca="false">SUBSTITUTE(D475,_xlfn.UNICHAR(160)," ")</f>
        <v>/PR:Games____SP:Alice20171028   $1887    </v>
      </c>
      <c r="G475" s="14" t="str">
        <f aca="false">SUBSTITUTE(F475,"/","")</f>
        <v>PR:Games____SP:Alice20171028   $1887    </v>
      </c>
      <c r="H475" s="14" t="str">
        <f aca="false">SUBSTITUTE(G475,"_"," ")</f>
        <v>PR:Games    SP:Alice20171028   $1887    </v>
      </c>
      <c r="I475" s="14" t="str">
        <f aca="false">TRIM(H475)</f>
        <v>PR:Games SP:Alice20171028 $1887</v>
      </c>
      <c r="J475" s="21" t="n">
        <f aca="false">LEN(I475)</f>
        <v>31</v>
      </c>
      <c r="K475" s="21" t="n">
        <f aca="false">CODE(RIGHT(I475,1))</f>
        <v>55</v>
      </c>
      <c r="L475" s="14" t="str">
        <f aca="false">SUBSTITUTE(I475,"PR:","")</f>
        <v>Games SP:Alice20171028 $1887</v>
      </c>
      <c r="M475" s="14" t="str">
        <f aca="false">SUBSTITUTE(L475,"SP:","")</f>
        <v>Games Alice20171028 $1887</v>
      </c>
      <c r="N475" s="15" t="str">
        <f aca="false">SUBSTITUTE(M475,"201710"," 201710")</f>
        <v>Games Alice 20171028 $1887</v>
      </c>
      <c r="O475" s="21" t="n">
        <f aca="false">FIND(" ",N475)</f>
        <v>6</v>
      </c>
      <c r="P475" s="21" t="n">
        <f aca="false">FIND(" ",N475,O475+1)</f>
        <v>12</v>
      </c>
      <c r="Q475" s="21" t="n">
        <f aca="false">FIND(" ",N475,P475+1)</f>
        <v>21</v>
      </c>
      <c r="R475" s="26" t="str">
        <f aca="false">LEFT(N475,O475-1)</f>
        <v>Games</v>
      </c>
      <c r="S475" s="26" t="str">
        <f aca="false">MID(N475,O475+1,P475-O475-1)</f>
        <v>Alice</v>
      </c>
      <c r="T475" s="26" t="str">
        <f aca="false">MID(N475,P475+1,Q475-P475-1)</f>
        <v>20171028</v>
      </c>
      <c r="U475" s="26" t="n">
        <f aca="false">VALUE(MID(N475,Q475+2,90))</f>
        <v>1887</v>
      </c>
      <c r="V475" s="27" t="n">
        <f aca="false">DATE(2017,10,MID(T475,7,2))</f>
        <v>43036</v>
      </c>
    </row>
    <row r="476" customFormat="false" ht="14.25" hidden="false" customHeight="false" outlineLevel="0" collapsed="false">
      <c r="A476" s="23" t="n">
        <f aca="false">A475+1</f>
        <v>472</v>
      </c>
      <c r="B476" s="14" t="s">
        <v>490</v>
      </c>
      <c r="C476" s="21" t="n">
        <f aca="false">CODE(RIGHT(B476,1))</f>
        <v>30</v>
      </c>
      <c r="D476" s="14" t="str">
        <f aca="false">CLEAN(B476)</f>
        <v>/PR:Games___SP:Barney20171012    $1700  </v>
      </c>
      <c r="E476" s="21" t="n">
        <f aca="false">CODE(RIGHT(D476,1))</f>
        <v>32</v>
      </c>
      <c r="F476" s="14" t="str">
        <f aca="false">SUBSTITUTE(D476,_xlfn.UNICHAR(160)," ")</f>
        <v>/PR:Games___SP:Barney20171012    $1700  </v>
      </c>
      <c r="G476" s="14" t="str">
        <f aca="false">SUBSTITUTE(F476,"/","")</f>
        <v>PR:Games___SP:Barney20171012    $1700  </v>
      </c>
      <c r="H476" s="14" t="str">
        <f aca="false">SUBSTITUTE(G476,"_"," ")</f>
        <v>PR:Games   SP:Barney20171012    $1700  </v>
      </c>
      <c r="I476" s="14" t="str">
        <f aca="false">TRIM(H476)</f>
        <v>PR:Games SP:Barney20171012 $1700</v>
      </c>
      <c r="J476" s="21" t="n">
        <f aca="false">LEN(I476)</f>
        <v>32</v>
      </c>
      <c r="K476" s="21" t="n">
        <f aca="false">CODE(RIGHT(I476,1))</f>
        <v>48</v>
      </c>
      <c r="L476" s="14" t="str">
        <f aca="false">SUBSTITUTE(I476,"PR:","")</f>
        <v>Games SP:Barney20171012 $1700</v>
      </c>
      <c r="M476" s="14" t="str">
        <f aca="false">SUBSTITUTE(L476,"SP:","")</f>
        <v>Games Barney20171012 $1700</v>
      </c>
      <c r="N476" s="15" t="str">
        <f aca="false">SUBSTITUTE(M476,"201710"," 201710")</f>
        <v>Games Barney 20171012 $1700</v>
      </c>
      <c r="O476" s="21" t="n">
        <f aca="false">FIND(" ",N476)</f>
        <v>6</v>
      </c>
      <c r="P476" s="21" t="n">
        <f aca="false">FIND(" ",N476,O476+1)</f>
        <v>13</v>
      </c>
      <c r="Q476" s="21" t="n">
        <f aca="false">FIND(" ",N476,P476+1)</f>
        <v>22</v>
      </c>
      <c r="R476" s="26" t="str">
        <f aca="false">LEFT(N476,O476-1)</f>
        <v>Games</v>
      </c>
      <c r="S476" s="26" t="str">
        <f aca="false">MID(N476,O476+1,P476-O476-1)</f>
        <v>Barney</v>
      </c>
      <c r="T476" s="26" t="str">
        <f aca="false">MID(N476,P476+1,Q476-P476-1)</f>
        <v>20171012</v>
      </c>
      <c r="U476" s="26" t="n">
        <f aca="false">VALUE(MID(N476,Q476+2,90))</f>
        <v>1700</v>
      </c>
      <c r="V476" s="27" t="n">
        <f aca="false">DATE(2017,10,MID(T476,7,2))</f>
        <v>43020</v>
      </c>
    </row>
    <row r="477" customFormat="false" ht="14.25" hidden="false" customHeight="false" outlineLevel="0" collapsed="false">
      <c r="A477" s="23" t="n">
        <f aca="false">A476+1</f>
        <v>473</v>
      </c>
      <c r="B477" s="14" t="s">
        <v>491</v>
      </c>
      <c r="C477" s="21" t="n">
        <f aca="false">CODE(RIGHT(B477,1))</f>
        <v>28</v>
      </c>
      <c r="D477" s="14" t="str">
        <f aca="false">CLEAN(B477)</f>
        <v>////PR:Music_____SP:Barney20171011     $1382    </v>
      </c>
      <c r="E477" s="21" t="n">
        <f aca="false">CODE(RIGHT(D477,1))</f>
        <v>32</v>
      </c>
      <c r="F477" s="14" t="str">
        <f aca="false">SUBSTITUTE(D477,_xlfn.UNICHAR(160)," ")</f>
        <v>////PR:Music_____SP:Barney20171011     $1382    </v>
      </c>
      <c r="G477" s="14" t="str">
        <f aca="false">SUBSTITUTE(F477,"/","")</f>
        <v>PR:Music_____SP:Barney20171011     $1382    </v>
      </c>
      <c r="H477" s="14" t="str">
        <f aca="false">SUBSTITUTE(G477,"_"," ")</f>
        <v>PR:Music     SP:Barney20171011     $1382    </v>
      </c>
      <c r="I477" s="14" t="str">
        <f aca="false">TRIM(H477)</f>
        <v>PR:Music SP:Barney20171011 $1382</v>
      </c>
      <c r="J477" s="21" t="n">
        <f aca="false">LEN(I477)</f>
        <v>32</v>
      </c>
      <c r="K477" s="21" t="n">
        <f aca="false">CODE(RIGHT(I477,1))</f>
        <v>50</v>
      </c>
      <c r="L477" s="14" t="str">
        <f aca="false">SUBSTITUTE(I477,"PR:","")</f>
        <v>Music SP:Barney20171011 $1382</v>
      </c>
      <c r="M477" s="14" t="str">
        <f aca="false">SUBSTITUTE(L477,"SP:","")</f>
        <v>Music Barney20171011 $1382</v>
      </c>
      <c r="N477" s="15" t="str">
        <f aca="false">SUBSTITUTE(M477,"201710"," 201710")</f>
        <v>Music Barney 20171011 $1382</v>
      </c>
      <c r="O477" s="21" t="n">
        <f aca="false">FIND(" ",N477)</f>
        <v>6</v>
      </c>
      <c r="P477" s="21" t="n">
        <f aca="false">FIND(" ",N477,O477+1)</f>
        <v>13</v>
      </c>
      <c r="Q477" s="21" t="n">
        <f aca="false">FIND(" ",N477,P477+1)</f>
        <v>22</v>
      </c>
      <c r="R477" s="26" t="str">
        <f aca="false">LEFT(N477,O477-1)</f>
        <v>Music</v>
      </c>
      <c r="S477" s="26" t="str">
        <f aca="false">MID(N477,O477+1,P477-O477-1)</f>
        <v>Barney</v>
      </c>
      <c r="T477" s="26" t="str">
        <f aca="false">MID(N477,P477+1,Q477-P477-1)</f>
        <v>20171011</v>
      </c>
      <c r="U477" s="26" t="n">
        <f aca="false">VALUE(MID(N477,Q477+2,90))</f>
        <v>1382</v>
      </c>
      <c r="V477" s="27" t="n">
        <f aca="false">DATE(2017,10,MID(T477,7,2))</f>
        <v>43019</v>
      </c>
    </row>
    <row r="478" customFormat="false" ht="14.25" hidden="false" customHeight="false" outlineLevel="0" collapsed="false">
      <c r="A478" s="23" t="n">
        <f aca="false">A477+1</f>
        <v>474</v>
      </c>
      <c r="B478" s="14" t="s">
        <v>492</v>
      </c>
      <c r="C478" s="21" t="n">
        <f aca="false">CODE(RIGHT(B478,1))</f>
        <v>30</v>
      </c>
      <c r="D478" s="14" t="str">
        <f aca="false">CLEAN(B478)</f>
        <v>/////PR:Books_SP:Barney20171021  $808    </v>
      </c>
      <c r="E478" s="21" t="n">
        <f aca="false">CODE(RIGHT(D478,1))</f>
        <v>32</v>
      </c>
      <c r="F478" s="14" t="str">
        <f aca="false">SUBSTITUTE(D478,_xlfn.UNICHAR(160)," ")</f>
        <v>/////PR:Books_SP:Barney20171021  $808    </v>
      </c>
      <c r="G478" s="14" t="str">
        <f aca="false">SUBSTITUTE(F478,"/","")</f>
        <v>PR:Books_SP:Barney20171021  $808    </v>
      </c>
      <c r="H478" s="14" t="str">
        <f aca="false">SUBSTITUTE(G478,"_"," ")</f>
        <v>PR:Books SP:Barney20171021  $808    </v>
      </c>
      <c r="I478" s="14" t="str">
        <f aca="false">TRIM(H478)</f>
        <v>PR:Books SP:Barney20171021 $808</v>
      </c>
      <c r="J478" s="21" t="n">
        <f aca="false">LEN(I478)</f>
        <v>31</v>
      </c>
      <c r="K478" s="21" t="n">
        <f aca="false">CODE(RIGHT(I478,1))</f>
        <v>56</v>
      </c>
      <c r="L478" s="14" t="str">
        <f aca="false">SUBSTITUTE(I478,"PR:","")</f>
        <v>Books SP:Barney20171021 $808</v>
      </c>
      <c r="M478" s="14" t="str">
        <f aca="false">SUBSTITUTE(L478,"SP:","")</f>
        <v>Books Barney20171021 $808</v>
      </c>
      <c r="N478" s="15" t="str">
        <f aca="false">SUBSTITUTE(M478,"201710"," 201710")</f>
        <v>Books Barney 20171021 $808</v>
      </c>
      <c r="O478" s="21" t="n">
        <f aca="false">FIND(" ",N478)</f>
        <v>6</v>
      </c>
      <c r="P478" s="21" t="n">
        <f aca="false">FIND(" ",N478,O478+1)</f>
        <v>13</v>
      </c>
      <c r="Q478" s="21" t="n">
        <f aca="false">FIND(" ",N478,P478+1)</f>
        <v>22</v>
      </c>
      <c r="R478" s="26" t="str">
        <f aca="false">LEFT(N478,O478-1)</f>
        <v>Books</v>
      </c>
      <c r="S478" s="26" t="str">
        <f aca="false">MID(N478,O478+1,P478-O478-1)</f>
        <v>Barney</v>
      </c>
      <c r="T478" s="26" t="str">
        <f aca="false">MID(N478,P478+1,Q478-P478-1)</f>
        <v>20171021</v>
      </c>
      <c r="U478" s="26" t="n">
        <f aca="false">VALUE(MID(N478,Q478+2,90))</f>
        <v>808</v>
      </c>
      <c r="V478" s="27" t="n">
        <f aca="false">DATE(2017,10,MID(T478,7,2))</f>
        <v>43029</v>
      </c>
    </row>
    <row r="479" customFormat="false" ht="14.25" hidden="false" customHeight="false" outlineLevel="0" collapsed="false">
      <c r="A479" s="23" t="n">
        <f aca="false">A478+1</f>
        <v>475</v>
      </c>
      <c r="B479" s="14" t="s">
        <v>493</v>
      </c>
      <c r="C479" s="21" t="n">
        <f aca="false">CODE(RIGHT(B479,1))</f>
        <v>31</v>
      </c>
      <c r="D479" s="14" t="str">
        <f aca="false">CLEAN(B479)</f>
        <v>///PR:Music____SP:David20171019     $0     </v>
      </c>
      <c r="E479" s="21" t="n">
        <f aca="false">CODE(RIGHT(D479,1))</f>
        <v>32</v>
      </c>
      <c r="F479" s="14" t="str">
        <f aca="false">SUBSTITUTE(D479,_xlfn.UNICHAR(160)," ")</f>
        <v>///PR:Music____SP:David20171019     $0     </v>
      </c>
      <c r="G479" s="14" t="str">
        <f aca="false">SUBSTITUTE(F479,"/","")</f>
        <v>PR:Music____SP:David20171019     $0     </v>
      </c>
      <c r="H479" s="14" t="str">
        <f aca="false">SUBSTITUTE(G479,"_"," ")</f>
        <v>PR:Music    SP:David20171019     $0     </v>
      </c>
      <c r="I479" s="14" t="str">
        <f aca="false">TRIM(H479)</f>
        <v>PR:Music SP:David20171019 $0</v>
      </c>
      <c r="J479" s="21" t="n">
        <f aca="false">LEN(I479)</f>
        <v>28</v>
      </c>
      <c r="K479" s="21" t="n">
        <f aca="false">CODE(RIGHT(I479,1))</f>
        <v>48</v>
      </c>
      <c r="L479" s="14" t="str">
        <f aca="false">SUBSTITUTE(I479,"PR:","")</f>
        <v>Music SP:David20171019 $0</v>
      </c>
      <c r="M479" s="14" t="str">
        <f aca="false">SUBSTITUTE(L479,"SP:","")</f>
        <v>Music David20171019 $0</v>
      </c>
      <c r="N479" s="15" t="str">
        <f aca="false">SUBSTITUTE(M479,"201710"," 201710")</f>
        <v>Music David 20171019 $0</v>
      </c>
      <c r="O479" s="21" t="n">
        <f aca="false">FIND(" ",N479)</f>
        <v>6</v>
      </c>
      <c r="P479" s="21" t="n">
        <f aca="false">FIND(" ",N479,O479+1)</f>
        <v>12</v>
      </c>
      <c r="Q479" s="21" t="n">
        <f aca="false">FIND(" ",N479,P479+1)</f>
        <v>21</v>
      </c>
      <c r="R479" s="26" t="str">
        <f aca="false">LEFT(N479,O479-1)</f>
        <v>Music</v>
      </c>
      <c r="S479" s="26" t="str">
        <f aca="false">MID(N479,O479+1,P479-O479-1)</f>
        <v>David</v>
      </c>
      <c r="T479" s="26" t="str">
        <f aca="false">MID(N479,P479+1,Q479-P479-1)</f>
        <v>20171019</v>
      </c>
      <c r="U479" s="26" t="n">
        <f aca="false">VALUE(MID(N479,Q479+2,90))</f>
        <v>0</v>
      </c>
      <c r="V479" s="27" t="n">
        <f aca="false">DATE(2017,10,MID(T479,7,2))</f>
        <v>43027</v>
      </c>
    </row>
    <row r="480" customFormat="false" ht="14.25" hidden="false" customHeight="false" outlineLevel="0" collapsed="false">
      <c r="A480" s="23" t="n">
        <f aca="false">A479+1</f>
        <v>476</v>
      </c>
      <c r="B480" s="14" t="s">
        <v>494</v>
      </c>
      <c r="C480" s="21" t="n">
        <f aca="false">CODE(RIGHT(B480,1))</f>
        <v>29</v>
      </c>
      <c r="D480" s="14" t="str">
        <f aca="false">CLEAN(B480)</f>
        <v>//PR:Music_SP:Carol20171025 $1496  </v>
      </c>
      <c r="E480" s="21" t="n">
        <f aca="false">CODE(RIGHT(D480,1))</f>
        <v>32</v>
      </c>
      <c r="F480" s="14" t="str">
        <f aca="false">SUBSTITUTE(D480,_xlfn.UNICHAR(160)," ")</f>
        <v>//PR:Music_SP:Carol20171025 $1496  </v>
      </c>
      <c r="G480" s="14" t="str">
        <f aca="false">SUBSTITUTE(F480,"/","")</f>
        <v>PR:Music_SP:Carol20171025 $1496  </v>
      </c>
      <c r="H480" s="14" t="str">
        <f aca="false">SUBSTITUTE(G480,"_"," ")</f>
        <v>PR:Music SP:Carol20171025 $1496  </v>
      </c>
      <c r="I480" s="14" t="str">
        <f aca="false">TRIM(H480)</f>
        <v>PR:Music SP:Carol20171025 $1496</v>
      </c>
      <c r="J480" s="21" t="n">
        <f aca="false">LEN(I480)</f>
        <v>31</v>
      </c>
      <c r="K480" s="21" t="n">
        <f aca="false">CODE(RIGHT(I480,1))</f>
        <v>54</v>
      </c>
      <c r="L480" s="14" t="str">
        <f aca="false">SUBSTITUTE(I480,"PR:","")</f>
        <v>Music SP:Carol20171025 $1496</v>
      </c>
      <c r="M480" s="14" t="str">
        <f aca="false">SUBSTITUTE(L480,"SP:","")</f>
        <v>Music Carol20171025 $1496</v>
      </c>
      <c r="N480" s="15" t="str">
        <f aca="false">SUBSTITUTE(M480,"201710"," 201710")</f>
        <v>Music Carol 20171025 $1496</v>
      </c>
      <c r="O480" s="21" t="n">
        <f aca="false">FIND(" ",N480)</f>
        <v>6</v>
      </c>
      <c r="P480" s="21" t="n">
        <f aca="false">FIND(" ",N480,O480+1)</f>
        <v>12</v>
      </c>
      <c r="Q480" s="21" t="n">
        <f aca="false">FIND(" ",N480,P480+1)</f>
        <v>21</v>
      </c>
      <c r="R480" s="26" t="str">
        <f aca="false">LEFT(N480,O480-1)</f>
        <v>Music</v>
      </c>
      <c r="S480" s="26" t="str">
        <f aca="false">MID(N480,O480+1,P480-O480-1)</f>
        <v>Carol</v>
      </c>
      <c r="T480" s="26" t="str">
        <f aca="false">MID(N480,P480+1,Q480-P480-1)</f>
        <v>20171025</v>
      </c>
      <c r="U480" s="26" t="n">
        <f aca="false">VALUE(MID(N480,Q480+2,90))</f>
        <v>1496</v>
      </c>
      <c r="V480" s="27" t="n">
        <f aca="false">DATE(2017,10,MID(T480,7,2))</f>
        <v>43033</v>
      </c>
    </row>
    <row r="481" customFormat="false" ht="14.25" hidden="false" customHeight="false" outlineLevel="0" collapsed="false">
      <c r="A481" s="23" t="n">
        <f aca="false">A480+1</f>
        <v>477</v>
      </c>
      <c r="B481" s="14" t="s">
        <v>495</v>
      </c>
      <c r="C481" s="21" t="n">
        <f aca="false">CODE(RIGHT(B481,1))</f>
        <v>30</v>
      </c>
      <c r="D481" s="14" t="str">
        <f aca="false">CLEAN(B481)</f>
        <v>/PR:Clothing___SP:Alice20171011 $1375   </v>
      </c>
      <c r="E481" s="21" t="n">
        <f aca="false">CODE(RIGHT(D481,1))</f>
        <v>32</v>
      </c>
      <c r="F481" s="14" t="str">
        <f aca="false">SUBSTITUTE(D481,_xlfn.UNICHAR(160)," ")</f>
        <v>/PR:Clothing___SP:Alice20171011 $1375   </v>
      </c>
      <c r="G481" s="14" t="str">
        <f aca="false">SUBSTITUTE(F481,"/","")</f>
        <v>PR:Clothing___SP:Alice20171011 $1375   </v>
      </c>
      <c r="H481" s="14" t="str">
        <f aca="false">SUBSTITUTE(G481,"_"," ")</f>
        <v>PR:Clothing   SP:Alice20171011 $1375   </v>
      </c>
      <c r="I481" s="14" t="str">
        <f aca="false">TRIM(H481)</f>
        <v>PR:Clothing SP:Alice20171011 $1375</v>
      </c>
      <c r="J481" s="21" t="n">
        <f aca="false">LEN(I481)</f>
        <v>34</v>
      </c>
      <c r="K481" s="21" t="n">
        <f aca="false">CODE(RIGHT(I481,1))</f>
        <v>53</v>
      </c>
      <c r="L481" s="14" t="str">
        <f aca="false">SUBSTITUTE(I481,"PR:","")</f>
        <v>Clothing SP:Alice20171011 $1375</v>
      </c>
      <c r="M481" s="14" t="str">
        <f aca="false">SUBSTITUTE(L481,"SP:","")</f>
        <v>Clothing Alice20171011 $1375</v>
      </c>
      <c r="N481" s="15" t="str">
        <f aca="false">SUBSTITUTE(M481,"201710"," 201710")</f>
        <v>Clothing Alice 20171011 $1375</v>
      </c>
      <c r="O481" s="21" t="n">
        <f aca="false">FIND(" ",N481)</f>
        <v>9</v>
      </c>
      <c r="P481" s="21" t="n">
        <f aca="false">FIND(" ",N481,O481+1)</f>
        <v>15</v>
      </c>
      <c r="Q481" s="21" t="n">
        <f aca="false">FIND(" ",N481,P481+1)</f>
        <v>24</v>
      </c>
      <c r="R481" s="26" t="str">
        <f aca="false">LEFT(N481,O481-1)</f>
        <v>Clothing</v>
      </c>
      <c r="S481" s="26" t="str">
        <f aca="false">MID(N481,O481+1,P481-O481-1)</f>
        <v>Alice</v>
      </c>
      <c r="T481" s="26" t="str">
        <f aca="false">MID(N481,P481+1,Q481-P481-1)</f>
        <v>20171011</v>
      </c>
      <c r="U481" s="26" t="n">
        <f aca="false">VALUE(MID(N481,Q481+2,90))</f>
        <v>1375</v>
      </c>
      <c r="V481" s="27" t="n">
        <f aca="false">DATE(2017,10,MID(T481,7,2))</f>
        <v>43019</v>
      </c>
    </row>
    <row r="482" customFormat="false" ht="14.25" hidden="false" customHeight="false" outlineLevel="0" collapsed="false">
      <c r="A482" s="23" t="n">
        <f aca="false">A481+1</f>
        <v>478</v>
      </c>
      <c r="B482" s="14" t="s">
        <v>496</v>
      </c>
      <c r="C482" s="21" t="n">
        <f aca="false">CODE(RIGHT(B482,1))</f>
        <v>28</v>
      </c>
      <c r="D482" s="14" t="str">
        <f aca="false">CLEAN(B482)</f>
        <v>/////PR:Books_SP:Alice2017106   $750   </v>
      </c>
      <c r="E482" s="21" t="n">
        <f aca="false">CODE(RIGHT(D482,1))</f>
        <v>32</v>
      </c>
      <c r="F482" s="14" t="str">
        <f aca="false">SUBSTITUTE(D482,_xlfn.UNICHAR(160)," ")</f>
        <v>/////PR:Books_SP:Alice2017106   $750   </v>
      </c>
      <c r="G482" s="14" t="str">
        <f aca="false">SUBSTITUTE(F482,"/","")</f>
        <v>PR:Books_SP:Alice2017106   $750   </v>
      </c>
      <c r="H482" s="14" t="str">
        <f aca="false">SUBSTITUTE(G482,"_"," ")</f>
        <v>PR:Books SP:Alice2017106   $750   </v>
      </c>
      <c r="I482" s="14" t="str">
        <f aca="false">TRIM(H482)</f>
        <v>PR:Books SP:Alice2017106 $750</v>
      </c>
      <c r="J482" s="21" t="n">
        <f aca="false">LEN(I482)</f>
        <v>29</v>
      </c>
      <c r="K482" s="21" t="n">
        <f aca="false">CODE(RIGHT(I482,1))</f>
        <v>48</v>
      </c>
      <c r="L482" s="14" t="str">
        <f aca="false">SUBSTITUTE(I482,"PR:","")</f>
        <v>Books SP:Alice2017106 $750</v>
      </c>
      <c r="M482" s="14" t="str">
        <f aca="false">SUBSTITUTE(L482,"SP:","")</f>
        <v>Books Alice2017106 $750</v>
      </c>
      <c r="N482" s="15" t="str">
        <f aca="false">SUBSTITUTE(M482,"201710"," 201710")</f>
        <v>Books Alice 2017106 $750</v>
      </c>
      <c r="O482" s="21" t="n">
        <f aca="false">FIND(" ",N482)</f>
        <v>6</v>
      </c>
      <c r="P482" s="21" t="n">
        <f aca="false">FIND(" ",N482,O482+1)</f>
        <v>12</v>
      </c>
      <c r="Q482" s="21" t="n">
        <f aca="false">FIND(" ",N482,P482+1)</f>
        <v>20</v>
      </c>
      <c r="R482" s="26" t="str">
        <f aca="false">LEFT(N482,O482-1)</f>
        <v>Books</v>
      </c>
      <c r="S482" s="26" t="str">
        <f aca="false">MID(N482,O482+1,P482-O482-1)</f>
        <v>Alice</v>
      </c>
      <c r="T482" s="26" t="str">
        <f aca="false">MID(N482,P482+1,Q482-P482-1)</f>
        <v>2017106</v>
      </c>
      <c r="U482" s="26" t="n">
        <f aca="false">VALUE(MID(N482,Q482+2,90))</f>
        <v>750</v>
      </c>
      <c r="V482" s="27" t="n">
        <f aca="false">DATE(2017,10,MID(T482,7,2))</f>
        <v>43014</v>
      </c>
    </row>
    <row r="483" customFormat="false" ht="14.25" hidden="false" customHeight="false" outlineLevel="0" collapsed="false">
      <c r="A483" s="23" t="n">
        <f aca="false">A482+1</f>
        <v>479</v>
      </c>
      <c r="B483" s="14" t="s">
        <v>497</v>
      </c>
      <c r="C483" s="21" t="n">
        <f aca="false">CODE(RIGHT(B483,1))</f>
        <v>28</v>
      </c>
      <c r="D483" s="14" t="str">
        <f aca="false">CLEAN(B483)</f>
        <v>/////PR:Books_____SP:David2017102     $890 </v>
      </c>
      <c r="E483" s="21" t="n">
        <f aca="false">CODE(RIGHT(D483,1))</f>
        <v>32</v>
      </c>
      <c r="F483" s="14" t="str">
        <f aca="false">SUBSTITUTE(D483,_xlfn.UNICHAR(160)," ")</f>
        <v>/////PR:Books_____SP:David2017102     $890 </v>
      </c>
      <c r="G483" s="14" t="str">
        <f aca="false">SUBSTITUTE(F483,"/","")</f>
        <v>PR:Books_____SP:David2017102     $890 </v>
      </c>
      <c r="H483" s="14" t="str">
        <f aca="false">SUBSTITUTE(G483,"_"," ")</f>
        <v>PR:Books     SP:David2017102     $890 </v>
      </c>
      <c r="I483" s="14" t="str">
        <f aca="false">TRIM(H483)</f>
        <v>PR:Books SP:David2017102 $890</v>
      </c>
      <c r="J483" s="21" t="n">
        <f aca="false">LEN(I483)</f>
        <v>29</v>
      </c>
      <c r="K483" s="21" t="n">
        <f aca="false">CODE(RIGHT(I483,1))</f>
        <v>48</v>
      </c>
      <c r="L483" s="14" t="str">
        <f aca="false">SUBSTITUTE(I483,"PR:","")</f>
        <v>Books SP:David2017102 $890</v>
      </c>
      <c r="M483" s="14" t="str">
        <f aca="false">SUBSTITUTE(L483,"SP:","")</f>
        <v>Books David2017102 $890</v>
      </c>
      <c r="N483" s="15" t="str">
        <f aca="false">SUBSTITUTE(M483,"201710"," 201710")</f>
        <v>Books David 2017102 $890</v>
      </c>
      <c r="O483" s="21" t="n">
        <f aca="false">FIND(" ",N483)</f>
        <v>6</v>
      </c>
      <c r="P483" s="21" t="n">
        <f aca="false">FIND(" ",N483,O483+1)</f>
        <v>12</v>
      </c>
      <c r="Q483" s="21" t="n">
        <f aca="false">FIND(" ",N483,P483+1)</f>
        <v>20</v>
      </c>
      <c r="R483" s="26" t="str">
        <f aca="false">LEFT(N483,O483-1)</f>
        <v>Books</v>
      </c>
      <c r="S483" s="26" t="str">
        <f aca="false">MID(N483,O483+1,P483-O483-1)</f>
        <v>David</v>
      </c>
      <c r="T483" s="26" t="str">
        <f aca="false">MID(N483,P483+1,Q483-P483-1)</f>
        <v>2017102</v>
      </c>
      <c r="U483" s="26" t="n">
        <f aca="false">VALUE(MID(N483,Q483+2,90))</f>
        <v>890</v>
      </c>
      <c r="V483" s="27" t="n">
        <f aca="false">DATE(2017,10,MID(T483,7,2))</f>
        <v>43010</v>
      </c>
    </row>
    <row r="484" customFormat="false" ht="14.25" hidden="false" customHeight="false" outlineLevel="0" collapsed="false">
      <c r="A484" s="23" t="n">
        <f aca="false">A483+1</f>
        <v>480</v>
      </c>
      <c r="B484" s="14" t="s">
        <v>498</v>
      </c>
      <c r="C484" s="21" t="n">
        <f aca="false">CODE(RIGHT(B484,1))</f>
        <v>28</v>
      </c>
      <c r="D484" s="14" t="str">
        <f aca="false">CLEAN(B484)</f>
        <v>/PR:Music_SP:David2017109 $1345 </v>
      </c>
      <c r="E484" s="21" t="n">
        <f aca="false">CODE(RIGHT(D484,1))</f>
        <v>32</v>
      </c>
      <c r="F484" s="14" t="str">
        <f aca="false">SUBSTITUTE(D484,_xlfn.UNICHAR(160)," ")</f>
        <v>/PR:Music_SP:David2017109 $1345 </v>
      </c>
      <c r="G484" s="14" t="str">
        <f aca="false">SUBSTITUTE(F484,"/","")</f>
        <v>PR:Music_SP:David2017109 $1345 </v>
      </c>
      <c r="H484" s="14" t="str">
        <f aca="false">SUBSTITUTE(G484,"_"," ")</f>
        <v>PR:Music SP:David2017109 $1345 </v>
      </c>
      <c r="I484" s="14" t="str">
        <f aca="false">TRIM(H484)</f>
        <v>PR:Music SP:David2017109 $1345</v>
      </c>
      <c r="J484" s="21" t="n">
        <f aca="false">LEN(I484)</f>
        <v>30</v>
      </c>
      <c r="K484" s="21" t="n">
        <f aca="false">CODE(RIGHT(I484,1))</f>
        <v>53</v>
      </c>
      <c r="L484" s="14" t="str">
        <f aca="false">SUBSTITUTE(I484,"PR:","")</f>
        <v>Music SP:David2017109 $1345</v>
      </c>
      <c r="M484" s="14" t="str">
        <f aca="false">SUBSTITUTE(L484,"SP:","")</f>
        <v>Music David2017109 $1345</v>
      </c>
      <c r="N484" s="15" t="str">
        <f aca="false">SUBSTITUTE(M484,"201710"," 201710")</f>
        <v>Music David 2017109 $1345</v>
      </c>
      <c r="O484" s="21" t="n">
        <f aca="false">FIND(" ",N484)</f>
        <v>6</v>
      </c>
      <c r="P484" s="21" t="n">
        <f aca="false">FIND(" ",N484,O484+1)</f>
        <v>12</v>
      </c>
      <c r="Q484" s="21" t="n">
        <f aca="false">FIND(" ",N484,P484+1)</f>
        <v>20</v>
      </c>
      <c r="R484" s="26" t="str">
        <f aca="false">LEFT(N484,O484-1)</f>
        <v>Music</v>
      </c>
      <c r="S484" s="26" t="str">
        <f aca="false">MID(N484,O484+1,P484-O484-1)</f>
        <v>David</v>
      </c>
      <c r="T484" s="26" t="str">
        <f aca="false">MID(N484,P484+1,Q484-P484-1)</f>
        <v>2017109</v>
      </c>
      <c r="U484" s="26" t="n">
        <f aca="false">VALUE(MID(N484,Q484+2,90))</f>
        <v>1345</v>
      </c>
      <c r="V484" s="27" t="n">
        <f aca="false">DATE(2017,10,MID(T484,7,2))</f>
        <v>43017</v>
      </c>
    </row>
    <row r="485" customFormat="false" ht="14.25" hidden="false" customHeight="false" outlineLevel="0" collapsed="false">
      <c r="A485" s="23" t="n">
        <f aca="false">A484+1</f>
        <v>481</v>
      </c>
      <c r="B485" s="14" t="s">
        <v>499</v>
      </c>
      <c r="C485" s="21" t="n">
        <f aca="false">CODE(RIGHT(B485,1))</f>
        <v>29</v>
      </c>
      <c r="D485" s="14" t="str">
        <f aca="false">CLEAN(B485)</f>
        <v>////PR:Music___SP:Alice20171024   $0    </v>
      </c>
      <c r="E485" s="21" t="n">
        <f aca="false">CODE(RIGHT(D485,1))</f>
        <v>32</v>
      </c>
      <c r="F485" s="14" t="str">
        <f aca="false">SUBSTITUTE(D485,_xlfn.UNICHAR(160)," ")</f>
        <v>////PR:Music___SP:Alice20171024   $0    </v>
      </c>
      <c r="G485" s="14" t="str">
        <f aca="false">SUBSTITUTE(F485,"/","")</f>
        <v>PR:Music___SP:Alice20171024   $0    </v>
      </c>
      <c r="H485" s="14" t="str">
        <f aca="false">SUBSTITUTE(G485,"_"," ")</f>
        <v>PR:Music   SP:Alice20171024   $0    </v>
      </c>
      <c r="I485" s="14" t="str">
        <f aca="false">TRIM(H485)</f>
        <v>PR:Music SP:Alice20171024 $0</v>
      </c>
      <c r="J485" s="21" t="n">
        <f aca="false">LEN(I485)</f>
        <v>28</v>
      </c>
      <c r="K485" s="21" t="n">
        <f aca="false">CODE(RIGHT(I485,1))</f>
        <v>48</v>
      </c>
      <c r="L485" s="14" t="str">
        <f aca="false">SUBSTITUTE(I485,"PR:","")</f>
        <v>Music SP:Alice20171024 $0</v>
      </c>
      <c r="M485" s="14" t="str">
        <f aca="false">SUBSTITUTE(L485,"SP:","")</f>
        <v>Music Alice20171024 $0</v>
      </c>
      <c r="N485" s="15" t="str">
        <f aca="false">SUBSTITUTE(M485,"201710"," 201710")</f>
        <v>Music Alice 20171024 $0</v>
      </c>
      <c r="O485" s="21" t="n">
        <f aca="false">FIND(" ",N485)</f>
        <v>6</v>
      </c>
      <c r="P485" s="21" t="n">
        <f aca="false">FIND(" ",N485,O485+1)</f>
        <v>12</v>
      </c>
      <c r="Q485" s="21" t="n">
        <f aca="false">FIND(" ",N485,P485+1)</f>
        <v>21</v>
      </c>
      <c r="R485" s="26" t="str">
        <f aca="false">LEFT(N485,O485-1)</f>
        <v>Music</v>
      </c>
      <c r="S485" s="26" t="str">
        <f aca="false">MID(N485,O485+1,P485-O485-1)</f>
        <v>Alice</v>
      </c>
      <c r="T485" s="26" t="str">
        <f aca="false">MID(N485,P485+1,Q485-P485-1)</f>
        <v>20171024</v>
      </c>
      <c r="U485" s="26" t="n">
        <f aca="false">VALUE(MID(N485,Q485+2,90))</f>
        <v>0</v>
      </c>
      <c r="V485" s="27" t="n">
        <f aca="false">DATE(2017,10,MID(T485,7,2))</f>
        <v>43032</v>
      </c>
    </row>
    <row r="486" customFormat="false" ht="14.25" hidden="false" customHeight="false" outlineLevel="0" collapsed="false">
      <c r="A486" s="23" t="n">
        <f aca="false">A485+1</f>
        <v>482</v>
      </c>
      <c r="B486" s="14" t="s">
        <v>500</v>
      </c>
      <c r="C486" s="21" t="n">
        <f aca="false">CODE(RIGHT(B486,1))</f>
        <v>29</v>
      </c>
      <c r="D486" s="14" t="str">
        <f aca="false">CLEAN(B486)</f>
        <v>/PR:Clothing__SP:David20171030 $660 </v>
      </c>
      <c r="E486" s="21" t="n">
        <f aca="false">CODE(RIGHT(D486,1))</f>
        <v>32</v>
      </c>
      <c r="F486" s="14" t="str">
        <f aca="false">SUBSTITUTE(D486,_xlfn.UNICHAR(160)," ")</f>
        <v>/PR:Clothing__SP:David20171030 $660 </v>
      </c>
      <c r="G486" s="14" t="str">
        <f aca="false">SUBSTITUTE(F486,"/","")</f>
        <v>PR:Clothing__SP:David20171030 $660 </v>
      </c>
      <c r="H486" s="14" t="str">
        <f aca="false">SUBSTITUTE(G486,"_"," ")</f>
        <v>PR:Clothing  SP:David20171030 $660 </v>
      </c>
      <c r="I486" s="14" t="str">
        <f aca="false">TRIM(H486)</f>
        <v>PR:Clothing SP:David20171030 $660</v>
      </c>
      <c r="J486" s="21" t="n">
        <f aca="false">LEN(I486)</f>
        <v>33</v>
      </c>
      <c r="K486" s="21" t="n">
        <f aca="false">CODE(RIGHT(I486,1))</f>
        <v>48</v>
      </c>
      <c r="L486" s="14" t="str">
        <f aca="false">SUBSTITUTE(I486,"PR:","")</f>
        <v>Clothing SP:David20171030 $660</v>
      </c>
      <c r="M486" s="14" t="str">
        <f aca="false">SUBSTITUTE(L486,"SP:","")</f>
        <v>Clothing David20171030 $660</v>
      </c>
      <c r="N486" s="15" t="str">
        <f aca="false">SUBSTITUTE(M486,"201710"," 201710")</f>
        <v>Clothing David 20171030 $660</v>
      </c>
      <c r="O486" s="21" t="n">
        <f aca="false">FIND(" ",N486)</f>
        <v>9</v>
      </c>
      <c r="P486" s="21" t="n">
        <f aca="false">FIND(" ",N486,O486+1)</f>
        <v>15</v>
      </c>
      <c r="Q486" s="21" t="n">
        <f aca="false">FIND(" ",N486,P486+1)</f>
        <v>24</v>
      </c>
      <c r="R486" s="26" t="str">
        <f aca="false">LEFT(N486,O486-1)</f>
        <v>Clothing</v>
      </c>
      <c r="S486" s="26" t="str">
        <f aca="false">MID(N486,O486+1,P486-O486-1)</f>
        <v>David</v>
      </c>
      <c r="T486" s="26" t="str">
        <f aca="false">MID(N486,P486+1,Q486-P486-1)</f>
        <v>20171030</v>
      </c>
      <c r="U486" s="26" t="n">
        <f aca="false">VALUE(MID(N486,Q486+2,90))</f>
        <v>660</v>
      </c>
      <c r="V486" s="27" t="n">
        <f aca="false">DATE(2017,10,MID(T486,7,2))</f>
        <v>43038</v>
      </c>
    </row>
    <row r="487" customFormat="false" ht="14.25" hidden="false" customHeight="false" outlineLevel="0" collapsed="false">
      <c r="A487" s="23" t="n">
        <f aca="false">A486+1</f>
        <v>483</v>
      </c>
      <c r="B487" s="14" t="s">
        <v>501</v>
      </c>
      <c r="C487" s="21" t="n">
        <f aca="false">CODE(RIGHT(B487,1))</f>
        <v>31</v>
      </c>
      <c r="D487" s="14" t="str">
        <f aca="false">CLEAN(B487)</f>
        <v>////PR:Clothing___SP:Barney20171021 $0    </v>
      </c>
      <c r="E487" s="21" t="n">
        <f aca="false">CODE(RIGHT(D487,1))</f>
        <v>32</v>
      </c>
      <c r="F487" s="14" t="str">
        <f aca="false">SUBSTITUTE(D487,_xlfn.UNICHAR(160)," ")</f>
        <v>////PR:Clothing___SP:Barney20171021 $0    </v>
      </c>
      <c r="G487" s="14" t="str">
        <f aca="false">SUBSTITUTE(F487,"/","")</f>
        <v>PR:Clothing___SP:Barney20171021 $0    </v>
      </c>
      <c r="H487" s="14" t="str">
        <f aca="false">SUBSTITUTE(G487,"_"," ")</f>
        <v>PR:Clothing   SP:Barney20171021 $0    </v>
      </c>
      <c r="I487" s="14" t="str">
        <f aca="false">TRIM(H487)</f>
        <v>PR:Clothing SP:Barney20171021 $0</v>
      </c>
      <c r="J487" s="21" t="n">
        <f aca="false">LEN(I487)</f>
        <v>32</v>
      </c>
      <c r="K487" s="21" t="n">
        <f aca="false">CODE(RIGHT(I487,1))</f>
        <v>48</v>
      </c>
      <c r="L487" s="14" t="str">
        <f aca="false">SUBSTITUTE(I487,"PR:","")</f>
        <v>Clothing SP:Barney20171021 $0</v>
      </c>
      <c r="M487" s="14" t="str">
        <f aca="false">SUBSTITUTE(L487,"SP:","")</f>
        <v>Clothing Barney20171021 $0</v>
      </c>
      <c r="N487" s="15" t="str">
        <f aca="false">SUBSTITUTE(M487,"201710"," 201710")</f>
        <v>Clothing Barney 20171021 $0</v>
      </c>
      <c r="O487" s="21" t="n">
        <f aca="false">FIND(" ",N487)</f>
        <v>9</v>
      </c>
      <c r="P487" s="21" t="n">
        <f aca="false">FIND(" ",N487,O487+1)</f>
        <v>16</v>
      </c>
      <c r="Q487" s="21" t="n">
        <f aca="false">FIND(" ",N487,P487+1)</f>
        <v>25</v>
      </c>
      <c r="R487" s="26" t="str">
        <f aca="false">LEFT(N487,O487-1)</f>
        <v>Clothing</v>
      </c>
      <c r="S487" s="26" t="str">
        <f aca="false">MID(N487,O487+1,P487-O487-1)</f>
        <v>Barney</v>
      </c>
      <c r="T487" s="26" t="str">
        <f aca="false">MID(N487,P487+1,Q487-P487-1)</f>
        <v>20171021</v>
      </c>
      <c r="U487" s="26" t="n">
        <f aca="false">VALUE(MID(N487,Q487+2,90))</f>
        <v>0</v>
      </c>
      <c r="V487" s="27" t="n">
        <f aca="false">DATE(2017,10,MID(T487,7,2))</f>
        <v>43029</v>
      </c>
    </row>
    <row r="488" customFormat="false" ht="14.25" hidden="false" customHeight="false" outlineLevel="0" collapsed="false">
      <c r="A488" s="23" t="n">
        <f aca="false">A487+1</f>
        <v>484</v>
      </c>
      <c r="B488" s="14" t="s">
        <v>502</v>
      </c>
      <c r="C488" s="21" t="n">
        <f aca="false">CODE(RIGHT(B488,1))</f>
        <v>30</v>
      </c>
      <c r="D488" s="14" t="str">
        <f aca="false">CLEAN(B488)</f>
        <v>//PR:Games_____SP:Barney20171020   $2380     </v>
      </c>
      <c r="E488" s="21" t="n">
        <f aca="false">CODE(RIGHT(D488,1))</f>
        <v>32</v>
      </c>
      <c r="F488" s="14" t="str">
        <f aca="false">SUBSTITUTE(D488,_xlfn.UNICHAR(160)," ")</f>
        <v>//PR:Games_____SP:Barney20171020   $2380     </v>
      </c>
      <c r="G488" s="14" t="str">
        <f aca="false">SUBSTITUTE(F488,"/","")</f>
        <v>PR:Games_____SP:Barney20171020   $2380     </v>
      </c>
      <c r="H488" s="14" t="str">
        <f aca="false">SUBSTITUTE(G488,"_"," ")</f>
        <v>PR:Games     SP:Barney20171020   $2380     </v>
      </c>
      <c r="I488" s="14" t="str">
        <f aca="false">TRIM(H488)</f>
        <v>PR:Games SP:Barney20171020 $2380</v>
      </c>
      <c r="J488" s="21" t="n">
        <f aca="false">LEN(I488)</f>
        <v>32</v>
      </c>
      <c r="K488" s="21" t="n">
        <f aca="false">CODE(RIGHT(I488,1))</f>
        <v>48</v>
      </c>
      <c r="L488" s="14" t="str">
        <f aca="false">SUBSTITUTE(I488,"PR:","")</f>
        <v>Games SP:Barney20171020 $2380</v>
      </c>
      <c r="M488" s="14" t="str">
        <f aca="false">SUBSTITUTE(L488,"SP:","")</f>
        <v>Games Barney20171020 $2380</v>
      </c>
      <c r="N488" s="15" t="str">
        <f aca="false">SUBSTITUTE(M488,"201710"," 201710")</f>
        <v>Games Barney 20171020 $2380</v>
      </c>
      <c r="O488" s="21" t="n">
        <f aca="false">FIND(" ",N488)</f>
        <v>6</v>
      </c>
      <c r="P488" s="21" t="n">
        <f aca="false">FIND(" ",N488,O488+1)</f>
        <v>13</v>
      </c>
      <c r="Q488" s="21" t="n">
        <f aca="false">FIND(" ",N488,P488+1)</f>
        <v>22</v>
      </c>
      <c r="R488" s="26" t="str">
        <f aca="false">LEFT(N488,O488-1)</f>
        <v>Games</v>
      </c>
      <c r="S488" s="26" t="str">
        <f aca="false">MID(N488,O488+1,P488-O488-1)</f>
        <v>Barney</v>
      </c>
      <c r="T488" s="26" t="str">
        <f aca="false">MID(N488,P488+1,Q488-P488-1)</f>
        <v>20171020</v>
      </c>
      <c r="U488" s="26" t="n">
        <f aca="false">VALUE(MID(N488,Q488+2,90))</f>
        <v>2380</v>
      </c>
      <c r="V488" s="27" t="n">
        <f aca="false">DATE(2017,10,MID(T488,7,2))</f>
        <v>43028</v>
      </c>
    </row>
    <row r="489" customFormat="false" ht="14.25" hidden="false" customHeight="false" outlineLevel="0" collapsed="false">
      <c r="A489" s="23" t="n">
        <f aca="false">A488+1</f>
        <v>485</v>
      </c>
      <c r="B489" s="14" t="s">
        <v>503</v>
      </c>
      <c r="C489" s="21" t="n">
        <f aca="false">CODE(RIGHT(B489,1))</f>
        <v>28</v>
      </c>
      <c r="D489" s="14" t="str">
        <f aca="false">CLEAN(B489)</f>
        <v>/////PR:Books____SP:Carol20171025  $515   </v>
      </c>
      <c r="E489" s="21" t="n">
        <f aca="false">CODE(RIGHT(D489,1))</f>
        <v>32</v>
      </c>
      <c r="F489" s="14" t="str">
        <f aca="false">SUBSTITUTE(D489,_xlfn.UNICHAR(160)," ")</f>
        <v>/////PR:Books____SP:Carol20171025  $515   </v>
      </c>
      <c r="G489" s="14" t="str">
        <f aca="false">SUBSTITUTE(F489,"/","")</f>
        <v>PR:Books____SP:Carol20171025  $515   </v>
      </c>
      <c r="H489" s="14" t="str">
        <f aca="false">SUBSTITUTE(G489,"_"," ")</f>
        <v>PR:Books    SP:Carol20171025  $515   </v>
      </c>
      <c r="I489" s="14" t="str">
        <f aca="false">TRIM(H489)</f>
        <v>PR:Books SP:Carol20171025 $515</v>
      </c>
      <c r="J489" s="21" t="n">
        <f aca="false">LEN(I489)</f>
        <v>30</v>
      </c>
      <c r="K489" s="21" t="n">
        <f aca="false">CODE(RIGHT(I489,1))</f>
        <v>53</v>
      </c>
      <c r="L489" s="14" t="str">
        <f aca="false">SUBSTITUTE(I489,"PR:","")</f>
        <v>Books SP:Carol20171025 $515</v>
      </c>
      <c r="M489" s="14" t="str">
        <f aca="false">SUBSTITUTE(L489,"SP:","")</f>
        <v>Books Carol20171025 $515</v>
      </c>
      <c r="N489" s="15" t="str">
        <f aca="false">SUBSTITUTE(M489,"201710"," 201710")</f>
        <v>Books Carol 20171025 $515</v>
      </c>
      <c r="O489" s="21" t="n">
        <f aca="false">FIND(" ",N489)</f>
        <v>6</v>
      </c>
      <c r="P489" s="21" t="n">
        <f aca="false">FIND(" ",N489,O489+1)</f>
        <v>12</v>
      </c>
      <c r="Q489" s="21" t="n">
        <f aca="false">FIND(" ",N489,P489+1)</f>
        <v>21</v>
      </c>
      <c r="R489" s="26" t="str">
        <f aca="false">LEFT(N489,O489-1)</f>
        <v>Books</v>
      </c>
      <c r="S489" s="26" t="str">
        <f aca="false">MID(N489,O489+1,P489-O489-1)</f>
        <v>Carol</v>
      </c>
      <c r="T489" s="26" t="str">
        <f aca="false">MID(N489,P489+1,Q489-P489-1)</f>
        <v>20171025</v>
      </c>
      <c r="U489" s="26" t="n">
        <f aca="false">VALUE(MID(N489,Q489+2,90))</f>
        <v>515</v>
      </c>
      <c r="V489" s="27" t="n">
        <f aca="false">DATE(2017,10,MID(T489,7,2))</f>
        <v>43033</v>
      </c>
    </row>
    <row r="490" customFormat="false" ht="14.25" hidden="false" customHeight="false" outlineLevel="0" collapsed="false">
      <c r="A490" s="23" t="n">
        <f aca="false">A489+1</f>
        <v>486</v>
      </c>
      <c r="B490" s="14" t="s">
        <v>504</v>
      </c>
      <c r="C490" s="21" t="n">
        <f aca="false">CODE(RIGHT(B490,1))</f>
        <v>28</v>
      </c>
      <c r="D490" s="14" t="str">
        <f aca="false">CLEAN(B490)</f>
        <v>////PR:Clothing__SP:Alice20171017    $650 </v>
      </c>
      <c r="E490" s="21" t="n">
        <f aca="false">CODE(RIGHT(D490,1))</f>
        <v>32</v>
      </c>
      <c r="F490" s="14" t="str">
        <f aca="false">SUBSTITUTE(D490,_xlfn.UNICHAR(160)," ")</f>
        <v>////PR:Clothing__SP:Alice20171017    $650 </v>
      </c>
      <c r="G490" s="14" t="str">
        <f aca="false">SUBSTITUTE(F490,"/","")</f>
        <v>PR:Clothing__SP:Alice20171017    $650 </v>
      </c>
      <c r="H490" s="14" t="str">
        <f aca="false">SUBSTITUTE(G490,"_"," ")</f>
        <v>PR:Clothing  SP:Alice20171017    $650 </v>
      </c>
      <c r="I490" s="14" t="str">
        <f aca="false">TRIM(H490)</f>
        <v>PR:Clothing SP:Alice20171017 $650</v>
      </c>
      <c r="J490" s="21" t="n">
        <f aca="false">LEN(I490)</f>
        <v>33</v>
      </c>
      <c r="K490" s="21" t="n">
        <f aca="false">CODE(RIGHT(I490,1))</f>
        <v>48</v>
      </c>
      <c r="L490" s="14" t="str">
        <f aca="false">SUBSTITUTE(I490,"PR:","")</f>
        <v>Clothing SP:Alice20171017 $650</v>
      </c>
      <c r="M490" s="14" t="str">
        <f aca="false">SUBSTITUTE(L490,"SP:","")</f>
        <v>Clothing Alice20171017 $650</v>
      </c>
      <c r="N490" s="15" t="str">
        <f aca="false">SUBSTITUTE(M490,"201710"," 201710")</f>
        <v>Clothing Alice 20171017 $650</v>
      </c>
      <c r="O490" s="21" t="n">
        <f aca="false">FIND(" ",N490)</f>
        <v>9</v>
      </c>
      <c r="P490" s="21" t="n">
        <f aca="false">FIND(" ",N490,O490+1)</f>
        <v>15</v>
      </c>
      <c r="Q490" s="21" t="n">
        <f aca="false">FIND(" ",N490,P490+1)</f>
        <v>24</v>
      </c>
      <c r="R490" s="26" t="str">
        <f aca="false">LEFT(N490,O490-1)</f>
        <v>Clothing</v>
      </c>
      <c r="S490" s="26" t="str">
        <f aca="false">MID(N490,O490+1,P490-O490-1)</f>
        <v>Alice</v>
      </c>
      <c r="T490" s="26" t="str">
        <f aca="false">MID(N490,P490+1,Q490-P490-1)</f>
        <v>20171017</v>
      </c>
      <c r="U490" s="26" t="n">
        <f aca="false">VALUE(MID(N490,Q490+2,90))</f>
        <v>650</v>
      </c>
      <c r="V490" s="27" t="n">
        <f aca="false">DATE(2017,10,MID(T490,7,2))</f>
        <v>43025</v>
      </c>
    </row>
    <row r="491" customFormat="false" ht="14.25" hidden="false" customHeight="false" outlineLevel="0" collapsed="false">
      <c r="A491" s="23" t="n">
        <f aca="false">A490+1</f>
        <v>487</v>
      </c>
      <c r="B491" s="14" t="s">
        <v>505</v>
      </c>
      <c r="C491" s="21" t="n">
        <f aca="false">CODE(RIGHT(B491,1))</f>
        <v>29</v>
      </c>
      <c r="D491" s="14" t="str">
        <f aca="false">CLEAN(B491)</f>
        <v>////PR:Books_SP:Barney2017109 $0   </v>
      </c>
      <c r="E491" s="21" t="n">
        <f aca="false">CODE(RIGHT(D491,1))</f>
        <v>32</v>
      </c>
      <c r="F491" s="14" t="str">
        <f aca="false">SUBSTITUTE(D491,_xlfn.UNICHAR(160)," ")</f>
        <v>////PR:Books_SP:Barney2017109 $0   </v>
      </c>
      <c r="G491" s="14" t="str">
        <f aca="false">SUBSTITUTE(F491,"/","")</f>
        <v>PR:Books_SP:Barney2017109 $0   </v>
      </c>
      <c r="H491" s="14" t="str">
        <f aca="false">SUBSTITUTE(G491,"_"," ")</f>
        <v>PR:Books SP:Barney2017109 $0   </v>
      </c>
      <c r="I491" s="14" t="str">
        <f aca="false">TRIM(H491)</f>
        <v>PR:Books SP:Barney2017109 $0</v>
      </c>
      <c r="J491" s="21" t="n">
        <f aca="false">LEN(I491)</f>
        <v>28</v>
      </c>
      <c r="K491" s="21" t="n">
        <f aca="false">CODE(RIGHT(I491,1))</f>
        <v>48</v>
      </c>
      <c r="L491" s="14" t="str">
        <f aca="false">SUBSTITUTE(I491,"PR:","")</f>
        <v>Books SP:Barney2017109 $0</v>
      </c>
      <c r="M491" s="14" t="str">
        <f aca="false">SUBSTITUTE(L491,"SP:","")</f>
        <v>Books Barney2017109 $0</v>
      </c>
      <c r="N491" s="15" t="str">
        <f aca="false">SUBSTITUTE(M491,"201710"," 201710")</f>
        <v>Books Barney 2017109 $0</v>
      </c>
      <c r="O491" s="21" t="n">
        <f aca="false">FIND(" ",N491)</f>
        <v>6</v>
      </c>
      <c r="P491" s="21" t="n">
        <f aca="false">FIND(" ",N491,O491+1)</f>
        <v>13</v>
      </c>
      <c r="Q491" s="21" t="n">
        <f aca="false">FIND(" ",N491,P491+1)</f>
        <v>21</v>
      </c>
      <c r="R491" s="26" t="str">
        <f aca="false">LEFT(N491,O491-1)</f>
        <v>Books</v>
      </c>
      <c r="S491" s="26" t="str">
        <f aca="false">MID(N491,O491+1,P491-O491-1)</f>
        <v>Barney</v>
      </c>
      <c r="T491" s="26" t="str">
        <f aca="false">MID(N491,P491+1,Q491-P491-1)</f>
        <v>2017109</v>
      </c>
      <c r="U491" s="26" t="n">
        <f aca="false">VALUE(MID(N491,Q491+2,90))</f>
        <v>0</v>
      </c>
      <c r="V491" s="27" t="n">
        <f aca="false">DATE(2017,10,MID(T491,7,2))</f>
        <v>43017</v>
      </c>
    </row>
    <row r="492" customFormat="false" ht="14.25" hidden="false" customHeight="false" outlineLevel="0" collapsed="false">
      <c r="A492" s="23" t="n">
        <f aca="false">A491+1</f>
        <v>488</v>
      </c>
      <c r="B492" s="14" t="s">
        <v>506</v>
      </c>
      <c r="C492" s="21" t="n">
        <f aca="false">CODE(RIGHT(B492,1))</f>
        <v>29</v>
      </c>
      <c r="D492" s="14" t="str">
        <f aca="false">CLEAN(B492)</f>
        <v>///PR:Clothing__SP:Barney2017102  $1988    </v>
      </c>
      <c r="E492" s="21" t="n">
        <f aca="false">CODE(RIGHT(D492,1))</f>
        <v>32</v>
      </c>
      <c r="F492" s="14" t="str">
        <f aca="false">SUBSTITUTE(D492,_xlfn.UNICHAR(160)," ")</f>
        <v>///PR:Clothing__SP:Barney2017102  $1988    </v>
      </c>
      <c r="G492" s="14" t="str">
        <f aca="false">SUBSTITUTE(F492,"/","")</f>
        <v>PR:Clothing__SP:Barney2017102  $1988    </v>
      </c>
      <c r="H492" s="14" t="str">
        <f aca="false">SUBSTITUTE(G492,"_"," ")</f>
        <v>PR:Clothing  SP:Barney2017102  $1988    </v>
      </c>
      <c r="I492" s="14" t="str">
        <f aca="false">TRIM(H492)</f>
        <v>PR:Clothing SP:Barney2017102 $1988</v>
      </c>
      <c r="J492" s="21" t="n">
        <f aca="false">LEN(I492)</f>
        <v>34</v>
      </c>
      <c r="K492" s="21" t="n">
        <f aca="false">CODE(RIGHT(I492,1))</f>
        <v>56</v>
      </c>
      <c r="L492" s="14" t="str">
        <f aca="false">SUBSTITUTE(I492,"PR:","")</f>
        <v>Clothing SP:Barney2017102 $1988</v>
      </c>
      <c r="M492" s="14" t="str">
        <f aca="false">SUBSTITUTE(L492,"SP:","")</f>
        <v>Clothing Barney2017102 $1988</v>
      </c>
      <c r="N492" s="15" t="str">
        <f aca="false">SUBSTITUTE(M492,"201710"," 201710")</f>
        <v>Clothing Barney 2017102 $1988</v>
      </c>
      <c r="O492" s="21" t="n">
        <f aca="false">FIND(" ",N492)</f>
        <v>9</v>
      </c>
      <c r="P492" s="21" t="n">
        <f aca="false">FIND(" ",N492,O492+1)</f>
        <v>16</v>
      </c>
      <c r="Q492" s="21" t="n">
        <f aca="false">FIND(" ",N492,P492+1)</f>
        <v>24</v>
      </c>
      <c r="R492" s="26" t="str">
        <f aca="false">LEFT(N492,O492-1)</f>
        <v>Clothing</v>
      </c>
      <c r="S492" s="26" t="str">
        <f aca="false">MID(N492,O492+1,P492-O492-1)</f>
        <v>Barney</v>
      </c>
      <c r="T492" s="26" t="str">
        <f aca="false">MID(N492,P492+1,Q492-P492-1)</f>
        <v>2017102</v>
      </c>
      <c r="U492" s="26" t="n">
        <f aca="false">VALUE(MID(N492,Q492+2,90))</f>
        <v>1988</v>
      </c>
      <c r="V492" s="27" t="n">
        <f aca="false">DATE(2017,10,MID(T492,7,2))</f>
        <v>43010</v>
      </c>
    </row>
    <row r="493" customFormat="false" ht="14.25" hidden="false" customHeight="false" outlineLevel="0" collapsed="false">
      <c r="A493" s="23" t="n">
        <f aca="false">A492+1</f>
        <v>489</v>
      </c>
      <c r="B493" s="14" t="s">
        <v>507</v>
      </c>
      <c r="C493" s="21" t="n">
        <f aca="false">CODE(RIGHT(B493,1))</f>
        <v>29</v>
      </c>
      <c r="D493" s="14" t="str">
        <f aca="false">CLEAN(B493)</f>
        <v>/////PR:Music__SP:Carol20171020    $0     </v>
      </c>
      <c r="E493" s="21" t="n">
        <f aca="false">CODE(RIGHT(D493,1))</f>
        <v>32</v>
      </c>
      <c r="F493" s="14" t="str">
        <f aca="false">SUBSTITUTE(D493,_xlfn.UNICHAR(160)," ")</f>
        <v>/////PR:Music__SP:Carol20171020    $0     </v>
      </c>
      <c r="G493" s="14" t="str">
        <f aca="false">SUBSTITUTE(F493,"/","")</f>
        <v>PR:Music__SP:Carol20171020    $0     </v>
      </c>
      <c r="H493" s="14" t="str">
        <f aca="false">SUBSTITUTE(G493,"_"," ")</f>
        <v>PR:Music  SP:Carol20171020    $0     </v>
      </c>
      <c r="I493" s="14" t="str">
        <f aca="false">TRIM(H493)</f>
        <v>PR:Music SP:Carol20171020 $0</v>
      </c>
      <c r="J493" s="21" t="n">
        <f aca="false">LEN(I493)</f>
        <v>28</v>
      </c>
      <c r="K493" s="21" t="n">
        <f aca="false">CODE(RIGHT(I493,1))</f>
        <v>48</v>
      </c>
      <c r="L493" s="14" t="str">
        <f aca="false">SUBSTITUTE(I493,"PR:","")</f>
        <v>Music SP:Carol20171020 $0</v>
      </c>
      <c r="M493" s="14" t="str">
        <f aca="false">SUBSTITUTE(L493,"SP:","")</f>
        <v>Music Carol20171020 $0</v>
      </c>
      <c r="N493" s="15" t="str">
        <f aca="false">SUBSTITUTE(M493,"201710"," 201710")</f>
        <v>Music Carol 20171020 $0</v>
      </c>
      <c r="O493" s="21" t="n">
        <f aca="false">FIND(" ",N493)</f>
        <v>6</v>
      </c>
      <c r="P493" s="21" t="n">
        <f aca="false">FIND(" ",N493,O493+1)</f>
        <v>12</v>
      </c>
      <c r="Q493" s="21" t="n">
        <f aca="false">FIND(" ",N493,P493+1)</f>
        <v>21</v>
      </c>
      <c r="R493" s="26" t="str">
        <f aca="false">LEFT(N493,O493-1)</f>
        <v>Music</v>
      </c>
      <c r="S493" s="26" t="str">
        <f aca="false">MID(N493,O493+1,P493-O493-1)</f>
        <v>Carol</v>
      </c>
      <c r="T493" s="26" t="str">
        <f aca="false">MID(N493,P493+1,Q493-P493-1)</f>
        <v>20171020</v>
      </c>
      <c r="U493" s="26" t="n">
        <f aca="false">VALUE(MID(N493,Q493+2,90))</f>
        <v>0</v>
      </c>
      <c r="V493" s="27" t="n">
        <f aca="false">DATE(2017,10,MID(T493,7,2))</f>
        <v>43028</v>
      </c>
    </row>
    <row r="494" customFormat="false" ht="14.25" hidden="false" customHeight="false" outlineLevel="0" collapsed="false">
      <c r="A494" s="23" t="n">
        <f aca="false">A493+1</f>
        <v>490</v>
      </c>
      <c r="B494" s="14" t="s">
        <v>508</v>
      </c>
      <c r="C494" s="21" t="n">
        <f aca="false">CODE(RIGHT(B494,1))</f>
        <v>31</v>
      </c>
      <c r="D494" s="14" t="str">
        <f aca="false">CLEAN(B494)</f>
        <v>////PR:Books___SP:David2017108     $501     </v>
      </c>
      <c r="E494" s="21" t="n">
        <f aca="false">CODE(RIGHT(D494,1))</f>
        <v>32</v>
      </c>
      <c r="F494" s="14" t="str">
        <f aca="false">SUBSTITUTE(D494,_xlfn.UNICHAR(160)," ")</f>
        <v>////PR:Books___SP:David2017108     $501     </v>
      </c>
      <c r="G494" s="14" t="str">
        <f aca="false">SUBSTITUTE(F494,"/","")</f>
        <v>PR:Books___SP:David2017108     $501     </v>
      </c>
      <c r="H494" s="14" t="str">
        <f aca="false">SUBSTITUTE(G494,"_"," ")</f>
        <v>PR:Books   SP:David2017108     $501     </v>
      </c>
      <c r="I494" s="14" t="str">
        <f aca="false">TRIM(H494)</f>
        <v>PR:Books SP:David2017108 $501</v>
      </c>
      <c r="J494" s="21" t="n">
        <f aca="false">LEN(I494)</f>
        <v>29</v>
      </c>
      <c r="K494" s="21" t="n">
        <f aca="false">CODE(RIGHT(I494,1))</f>
        <v>49</v>
      </c>
      <c r="L494" s="14" t="str">
        <f aca="false">SUBSTITUTE(I494,"PR:","")</f>
        <v>Books SP:David2017108 $501</v>
      </c>
      <c r="M494" s="14" t="str">
        <f aca="false">SUBSTITUTE(L494,"SP:","")</f>
        <v>Books David2017108 $501</v>
      </c>
      <c r="N494" s="15" t="str">
        <f aca="false">SUBSTITUTE(M494,"201710"," 201710")</f>
        <v>Books David 2017108 $501</v>
      </c>
      <c r="O494" s="21" t="n">
        <f aca="false">FIND(" ",N494)</f>
        <v>6</v>
      </c>
      <c r="P494" s="21" t="n">
        <f aca="false">FIND(" ",N494,O494+1)</f>
        <v>12</v>
      </c>
      <c r="Q494" s="21" t="n">
        <f aca="false">FIND(" ",N494,P494+1)</f>
        <v>20</v>
      </c>
      <c r="R494" s="26" t="str">
        <f aca="false">LEFT(N494,O494-1)</f>
        <v>Books</v>
      </c>
      <c r="S494" s="26" t="str">
        <f aca="false">MID(N494,O494+1,P494-O494-1)</f>
        <v>David</v>
      </c>
      <c r="T494" s="26" t="str">
        <f aca="false">MID(N494,P494+1,Q494-P494-1)</f>
        <v>2017108</v>
      </c>
      <c r="U494" s="26" t="n">
        <f aca="false">VALUE(MID(N494,Q494+2,90))</f>
        <v>501</v>
      </c>
      <c r="V494" s="27" t="n">
        <f aca="false">DATE(2017,10,MID(T494,7,2))</f>
        <v>43016</v>
      </c>
    </row>
    <row r="495" customFormat="false" ht="14.25" hidden="false" customHeight="false" outlineLevel="0" collapsed="false">
      <c r="A495" s="23" t="n">
        <f aca="false">A494+1</f>
        <v>491</v>
      </c>
      <c r="B495" s="14" t="s">
        <v>509</v>
      </c>
      <c r="C495" s="21" t="n">
        <f aca="false">CODE(RIGHT(B495,1))</f>
        <v>29</v>
      </c>
      <c r="D495" s="14" t="str">
        <f aca="false">CLEAN(B495)</f>
        <v>//PR:Clothing_____SP:Alice2017108  $859     </v>
      </c>
      <c r="E495" s="21" t="n">
        <f aca="false">CODE(RIGHT(D495,1))</f>
        <v>32</v>
      </c>
      <c r="F495" s="14" t="str">
        <f aca="false">SUBSTITUTE(D495,_xlfn.UNICHAR(160)," ")</f>
        <v>//PR:Clothing_____SP:Alice2017108  $859     </v>
      </c>
      <c r="G495" s="14" t="str">
        <f aca="false">SUBSTITUTE(F495,"/","")</f>
        <v>PR:Clothing_____SP:Alice2017108  $859     </v>
      </c>
      <c r="H495" s="14" t="str">
        <f aca="false">SUBSTITUTE(G495,"_"," ")</f>
        <v>PR:Clothing     SP:Alice2017108  $859     </v>
      </c>
      <c r="I495" s="14" t="str">
        <f aca="false">TRIM(H495)</f>
        <v>PR:Clothing SP:Alice2017108 $859</v>
      </c>
      <c r="J495" s="21" t="n">
        <f aca="false">LEN(I495)</f>
        <v>32</v>
      </c>
      <c r="K495" s="21" t="n">
        <f aca="false">CODE(RIGHT(I495,1))</f>
        <v>57</v>
      </c>
      <c r="L495" s="14" t="str">
        <f aca="false">SUBSTITUTE(I495,"PR:","")</f>
        <v>Clothing SP:Alice2017108 $859</v>
      </c>
      <c r="M495" s="14" t="str">
        <f aca="false">SUBSTITUTE(L495,"SP:","")</f>
        <v>Clothing Alice2017108 $859</v>
      </c>
      <c r="N495" s="15" t="str">
        <f aca="false">SUBSTITUTE(M495,"201710"," 201710")</f>
        <v>Clothing Alice 2017108 $859</v>
      </c>
      <c r="O495" s="21" t="n">
        <f aca="false">FIND(" ",N495)</f>
        <v>9</v>
      </c>
      <c r="P495" s="21" t="n">
        <f aca="false">FIND(" ",N495,O495+1)</f>
        <v>15</v>
      </c>
      <c r="Q495" s="21" t="n">
        <f aca="false">FIND(" ",N495,P495+1)</f>
        <v>23</v>
      </c>
      <c r="R495" s="26" t="str">
        <f aca="false">LEFT(N495,O495-1)</f>
        <v>Clothing</v>
      </c>
      <c r="S495" s="26" t="str">
        <f aca="false">MID(N495,O495+1,P495-O495-1)</f>
        <v>Alice</v>
      </c>
      <c r="T495" s="26" t="str">
        <f aca="false">MID(N495,P495+1,Q495-P495-1)</f>
        <v>2017108</v>
      </c>
      <c r="U495" s="26" t="n">
        <f aca="false">VALUE(MID(N495,Q495+2,90))</f>
        <v>859</v>
      </c>
      <c r="V495" s="27" t="n">
        <f aca="false">DATE(2017,10,MID(T495,7,2))</f>
        <v>43016</v>
      </c>
    </row>
    <row r="496" customFormat="false" ht="14.25" hidden="false" customHeight="false" outlineLevel="0" collapsed="false">
      <c r="A496" s="23" t="n">
        <f aca="false">A495+1</f>
        <v>492</v>
      </c>
      <c r="B496" s="14" t="s">
        <v>510</v>
      </c>
      <c r="C496" s="21" t="n">
        <f aca="false">CODE(RIGHT(B496,1))</f>
        <v>29</v>
      </c>
      <c r="D496" s="14" t="str">
        <f aca="false">CLEAN(B496)</f>
        <v>////PR:Clothing__SP:Barney20171014 $0   </v>
      </c>
      <c r="E496" s="21" t="n">
        <f aca="false">CODE(RIGHT(D496,1))</f>
        <v>32</v>
      </c>
      <c r="F496" s="14" t="str">
        <f aca="false">SUBSTITUTE(D496,_xlfn.UNICHAR(160)," ")</f>
        <v>////PR:Clothing__SP:Barney20171014 $0   </v>
      </c>
      <c r="G496" s="14" t="str">
        <f aca="false">SUBSTITUTE(F496,"/","")</f>
        <v>PR:Clothing__SP:Barney20171014 $0   </v>
      </c>
      <c r="H496" s="14" t="str">
        <f aca="false">SUBSTITUTE(G496,"_"," ")</f>
        <v>PR:Clothing  SP:Barney20171014 $0   </v>
      </c>
      <c r="I496" s="14" t="str">
        <f aca="false">TRIM(H496)</f>
        <v>PR:Clothing SP:Barney20171014 $0</v>
      </c>
      <c r="J496" s="21" t="n">
        <f aca="false">LEN(I496)</f>
        <v>32</v>
      </c>
      <c r="K496" s="21" t="n">
        <f aca="false">CODE(RIGHT(I496,1))</f>
        <v>48</v>
      </c>
      <c r="L496" s="14" t="str">
        <f aca="false">SUBSTITUTE(I496,"PR:","")</f>
        <v>Clothing SP:Barney20171014 $0</v>
      </c>
      <c r="M496" s="14" t="str">
        <f aca="false">SUBSTITUTE(L496,"SP:","")</f>
        <v>Clothing Barney20171014 $0</v>
      </c>
      <c r="N496" s="15" t="str">
        <f aca="false">SUBSTITUTE(M496,"201710"," 201710")</f>
        <v>Clothing Barney 20171014 $0</v>
      </c>
      <c r="O496" s="21" t="n">
        <f aca="false">FIND(" ",N496)</f>
        <v>9</v>
      </c>
      <c r="P496" s="21" t="n">
        <f aca="false">FIND(" ",N496,O496+1)</f>
        <v>16</v>
      </c>
      <c r="Q496" s="21" t="n">
        <f aca="false">FIND(" ",N496,P496+1)</f>
        <v>25</v>
      </c>
      <c r="R496" s="26" t="str">
        <f aca="false">LEFT(N496,O496-1)</f>
        <v>Clothing</v>
      </c>
      <c r="S496" s="26" t="str">
        <f aca="false">MID(N496,O496+1,P496-O496-1)</f>
        <v>Barney</v>
      </c>
      <c r="T496" s="26" t="str">
        <f aca="false">MID(N496,P496+1,Q496-P496-1)</f>
        <v>20171014</v>
      </c>
      <c r="U496" s="26" t="n">
        <f aca="false">VALUE(MID(N496,Q496+2,90))</f>
        <v>0</v>
      </c>
      <c r="V496" s="27" t="n">
        <f aca="false">DATE(2017,10,MID(T496,7,2))</f>
        <v>43022</v>
      </c>
    </row>
    <row r="497" customFormat="false" ht="14.25" hidden="false" customHeight="false" outlineLevel="0" collapsed="false">
      <c r="A497" s="23" t="n">
        <f aca="false">A496+1</f>
        <v>493</v>
      </c>
      <c r="B497" s="14" t="s">
        <v>511</v>
      </c>
      <c r="C497" s="21" t="n">
        <f aca="false">CODE(RIGHT(B497,1))</f>
        <v>30</v>
      </c>
      <c r="D497" s="14" t="str">
        <f aca="false">CLEAN(B497)</f>
        <v>////PR:Books___SP:Barney20171024  $743  </v>
      </c>
      <c r="E497" s="21" t="n">
        <f aca="false">CODE(RIGHT(D497,1))</f>
        <v>32</v>
      </c>
      <c r="F497" s="14" t="str">
        <f aca="false">SUBSTITUTE(D497,_xlfn.UNICHAR(160)," ")</f>
        <v>////PR:Books___SP:Barney20171024  $743  </v>
      </c>
      <c r="G497" s="14" t="str">
        <f aca="false">SUBSTITUTE(F497,"/","")</f>
        <v>PR:Books___SP:Barney20171024  $743  </v>
      </c>
      <c r="H497" s="14" t="str">
        <f aca="false">SUBSTITUTE(G497,"_"," ")</f>
        <v>PR:Books   SP:Barney20171024  $743  </v>
      </c>
      <c r="I497" s="14" t="str">
        <f aca="false">TRIM(H497)</f>
        <v>PR:Books SP:Barney20171024 $743</v>
      </c>
      <c r="J497" s="21" t="n">
        <f aca="false">LEN(I497)</f>
        <v>31</v>
      </c>
      <c r="K497" s="21" t="n">
        <f aca="false">CODE(RIGHT(I497,1))</f>
        <v>51</v>
      </c>
      <c r="L497" s="14" t="str">
        <f aca="false">SUBSTITUTE(I497,"PR:","")</f>
        <v>Books SP:Barney20171024 $743</v>
      </c>
      <c r="M497" s="14" t="str">
        <f aca="false">SUBSTITUTE(L497,"SP:","")</f>
        <v>Books Barney20171024 $743</v>
      </c>
      <c r="N497" s="15" t="str">
        <f aca="false">SUBSTITUTE(M497,"201710"," 201710")</f>
        <v>Books Barney 20171024 $743</v>
      </c>
      <c r="O497" s="21" t="n">
        <f aca="false">FIND(" ",N497)</f>
        <v>6</v>
      </c>
      <c r="P497" s="21" t="n">
        <f aca="false">FIND(" ",N497,O497+1)</f>
        <v>13</v>
      </c>
      <c r="Q497" s="21" t="n">
        <f aca="false">FIND(" ",N497,P497+1)</f>
        <v>22</v>
      </c>
      <c r="R497" s="26" t="str">
        <f aca="false">LEFT(N497,O497-1)</f>
        <v>Books</v>
      </c>
      <c r="S497" s="26" t="str">
        <f aca="false">MID(N497,O497+1,P497-O497-1)</f>
        <v>Barney</v>
      </c>
      <c r="T497" s="26" t="str">
        <f aca="false">MID(N497,P497+1,Q497-P497-1)</f>
        <v>20171024</v>
      </c>
      <c r="U497" s="26" t="n">
        <f aca="false">VALUE(MID(N497,Q497+2,90))</f>
        <v>743</v>
      </c>
      <c r="V497" s="27" t="n">
        <f aca="false">DATE(2017,10,MID(T497,7,2))</f>
        <v>43032</v>
      </c>
    </row>
    <row r="498" customFormat="false" ht="14.25" hidden="false" customHeight="false" outlineLevel="0" collapsed="false">
      <c r="A498" s="23" t="n">
        <f aca="false">A497+1</f>
        <v>494</v>
      </c>
      <c r="B498" s="14" t="s">
        <v>512</v>
      </c>
      <c r="C498" s="21" t="n">
        <f aca="false">CODE(RIGHT(B498,1))</f>
        <v>30</v>
      </c>
      <c r="D498" s="14" t="str">
        <f aca="false">CLEAN(B498)</f>
        <v>/////PR:Books_____SP:Alice20171027    $0  </v>
      </c>
      <c r="E498" s="21" t="n">
        <f aca="false">CODE(RIGHT(D498,1))</f>
        <v>32</v>
      </c>
      <c r="F498" s="14" t="str">
        <f aca="false">SUBSTITUTE(D498,_xlfn.UNICHAR(160)," ")</f>
        <v>/////PR:Books_____SP:Alice20171027    $0  </v>
      </c>
      <c r="G498" s="14" t="str">
        <f aca="false">SUBSTITUTE(F498,"/","")</f>
        <v>PR:Books_____SP:Alice20171027    $0  </v>
      </c>
      <c r="H498" s="14" t="str">
        <f aca="false">SUBSTITUTE(G498,"_"," ")</f>
        <v>PR:Books     SP:Alice20171027    $0  </v>
      </c>
      <c r="I498" s="14" t="str">
        <f aca="false">TRIM(H498)</f>
        <v>PR:Books SP:Alice20171027 $0</v>
      </c>
      <c r="J498" s="21" t="n">
        <f aca="false">LEN(I498)</f>
        <v>28</v>
      </c>
      <c r="K498" s="21" t="n">
        <f aca="false">CODE(RIGHT(I498,1))</f>
        <v>48</v>
      </c>
      <c r="L498" s="14" t="str">
        <f aca="false">SUBSTITUTE(I498,"PR:","")</f>
        <v>Books SP:Alice20171027 $0</v>
      </c>
      <c r="M498" s="14" t="str">
        <f aca="false">SUBSTITUTE(L498,"SP:","")</f>
        <v>Books Alice20171027 $0</v>
      </c>
      <c r="N498" s="15" t="str">
        <f aca="false">SUBSTITUTE(M498,"201710"," 201710")</f>
        <v>Books Alice 20171027 $0</v>
      </c>
      <c r="O498" s="21" t="n">
        <f aca="false">FIND(" ",N498)</f>
        <v>6</v>
      </c>
      <c r="P498" s="21" t="n">
        <f aca="false">FIND(" ",N498,O498+1)</f>
        <v>12</v>
      </c>
      <c r="Q498" s="21" t="n">
        <f aca="false">FIND(" ",N498,P498+1)</f>
        <v>21</v>
      </c>
      <c r="R498" s="26" t="str">
        <f aca="false">LEFT(N498,O498-1)</f>
        <v>Books</v>
      </c>
      <c r="S498" s="26" t="str">
        <f aca="false">MID(N498,O498+1,P498-O498-1)</f>
        <v>Alice</v>
      </c>
      <c r="T498" s="26" t="str">
        <f aca="false">MID(N498,P498+1,Q498-P498-1)</f>
        <v>20171027</v>
      </c>
      <c r="U498" s="26" t="n">
        <f aca="false">VALUE(MID(N498,Q498+2,90))</f>
        <v>0</v>
      </c>
      <c r="V498" s="27" t="n">
        <f aca="false">DATE(2017,10,MID(T498,7,2))</f>
        <v>43035</v>
      </c>
    </row>
    <row r="499" customFormat="false" ht="14.25" hidden="false" customHeight="false" outlineLevel="0" collapsed="false">
      <c r="A499" s="23" t="n">
        <f aca="false">A498+1</f>
        <v>495</v>
      </c>
      <c r="B499" s="14" t="s">
        <v>513</v>
      </c>
      <c r="C499" s="21" t="n">
        <f aca="false">CODE(RIGHT(B499,1))</f>
        <v>30</v>
      </c>
      <c r="D499" s="14" t="str">
        <f aca="false">CLEAN(B499)</f>
        <v>/////PR:Books_____SP:Barney20171020 $0 </v>
      </c>
      <c r="E499" s="21" t="n">
        <f aca="false">CODE(RIGHT(D499,1))</f>
        <v>32</v>
      </c>
      <c r="F499" s="14" t="str">
        <f aca="false">SUBSTITUTE(D499,_xlfn.UNICHAR(160)," ")</f>
        <v>/////PR:Books_____SP:Barney20171020 $0 </v>
      </c>
      <c r="G499" s="14" t="str">
        <f aca="false">SUBSTITUTE(F499,"/","")</f>
        <v>PR:Books_____SP:Barney20171020 $0 </v>
      </c>
      <c r="H499" s="14" t="str">
        <f aca="false">SUBSTITUTE(G499,"_"," ")</f>
        <v>PR:Books     SP:Barney20171020 $0 </v>
      </c>
      <c r="I499" s="14" t="str">
        <f aca="false">TRIM(H499)</f>
        <v>PR:Books SP:Barney20171020 $0</v>
      </c>
      <c r="J499" s="21" t="n">
        <f aca="false">LEN(I499)</f>
        <v>29</v>
      </c>
      <c r="K499" s="21" t="n">
        <f aca="false">CODE(RIGHT(I499,1))</f>
        <v>48</v>
      </c>
      <c r="L499" s="14" t="str">
        <f aca="false">SUBSTITUTE(I499,"PR:","")</f>
        <v>Books SP:Barney20171020 $0</v>
      </c>
      <c r="M499" s="14" t="str">
        <f aca="false">SUBSTITUTE(L499,"SP:","")</f>
        <v>Books Barney20171020 $0</v>
      </c>
      <c r="N499" s="15" t="str">
        <f aca="false">SUBSTITUTE(M499,"201710"," 201710")</f>
        <v>Books Barney 20171020 $0</v>
      </c>
      <c r="O499" s="21" t="n">
        <f aca="false">FIND(" ",N499)</f>
        <v>6</v>
      </c>
      <c r="P499" s="21" t="n">
        <f aca="false">FIND(" ",N499,O499+1)</f>
        <v>13</v>
      </c>
      <c r="Q499" s="21" t="n">
        <f aca="false">FIND(" ",N499,P499+1)</f>
        <v>22</v>
      </c>
      <c r="R499" s="26" t="str">
        <f aca="false">LEFT(N499,O499-1)</f>
        <v>Books</v>
      </c>
      <c r="S499" s="26" t="str">
        <f aca="false">MID(N499,O499+1,P499-O499-1)</f>
        <v>Barney</v>
      </c>
      <c r="T499" s="26" t="str">
        <f aca="false">MID(N499,P499+1,Q499-P499-1)</f>
        <v>20171020</v>
      </c>
      <c r="U499" s="26" t="n">
        <f aca="false">VALUE(MID(N499,Q499+2,90))</f>
        <v>0</v>
      </c>
      <c r="V499" s="27" t="n">
        <f aca="false">DATE(2017,10,MID(T499,7,2))</f>
        <v>43028</v>
      </c>
    </row>
    <row r="500" customFormat="false" ht="14.25" hidden="false" customHeight="false" outlineLevel="0" collapsed="false">
      <c r="A500" s="23" t="n">
        <f aca="false">A499+1</f>
        <v>496</v>
      </c>
      <c r="B500" s="14" t="s">
        <v>514</v>
      </c>
      <c r="C500" s="21" t="n">
        <f aca="false">CODE(RIGHT(B500,1))</f>
        <v>28</v>
      </c>
      <c r="D500" s="14" t="str">
        <f aca="false">CLEAN(B500)</f>
        <v>/PR:Music__SP:Alice2017106 $1010 </v>
      </c>
      <c r="E500" s="21" t="n">
        <f aca="false">CODE(RIGHT(D500,1))</f>
        <v>32</v>
      </c>
      <c r="F500" s="14" t="str">
        <f aca="false">SUBSTITUTE(D500,_xlfn.UNICHAR(160)," ")</f>
        <v>/PR:Music__SP:Alice2017106 $1010 </v>
      </c>
      <c r="G500" s="14" t="str">
        <f aca="false">SUBSTITUTE(F500,"/","")</f>
        <v>PR:Music__SP:Alice2017106 $1010 </v>
      </c>
      <c r="H500" s="14" t="str">
        <f aca="false">SUBSTITUTE(G500,"_"," ")</f>
        <v>PR:Music  SP:Alice2017106 $1010 </v>
      </c>
      <c r="I500" s="14" t="str">
        <f aca="false">TRIM(H500)</f>
        <v>PR:Music SP:Alice2017106 $1010</v>
      </c>
      <c r="J500" s="21" t="n">
        <f aca="false">LEN(I500)</f>
        <v>30</v>
      </c>
      <c r="K500" s="21" t="n">
        <f aca="false">CODE(RIGHT(I500,1))</f>
        <v>48</v>
      </c>
      <c r="L500" s="14" t="str">
        <f aca="false">SUBSTITUTE(I500,"PR:","")</f>
        <v>Music SP:Alice2017106 $1010</v>
      </c>
      <c r="M500" s="14" t="str">
        <f aca="false">SUBSTITUTE(L500,"SP:","")</f>
        <v>Music Alice2017106 $1010</v>
      </c>
      <c r="N500" s="15" t="str">
        <f aca="false">SUBSTITUTE(M500,"201710"," 201710")</f>
        <v>Music Alice 2017106 $1010</v>
      </c>
      <c r="O500" s="21" t="n">
        <f aca="false">FIND(" ",N500)</f>
        <v>6</v>
      </c>
      <c r="P500" s="21" t="n">
        <f aca="false">FIND(" ",N500,O500+1)</f>
        <v>12</v>
      </c>
      <c r="Q500" s="21" t="n">
        <f aca="false">FIND(" ",N500,P500+1)</f>
        <v>20</v>
      </c>
      <c r="R500" s="28" t="str">
        <f aca="false">LEFT(N500,O500-1)</f>
        <v>Music</v>
      </c>
      <c r="S500" s="28" t="str">
        <f aca="false">MID(N500,O500+1,P500-O500-1)</f>
        <v>Alice</v>
      </c>
      <c r="T500" s="28" t="str">
        <f aca="false">MID(N500,P500+1,Q500-P500-1)</f>
        <v>2017106</v>
      </c>
      <c r="U500" s="28" t="n">
        <f aca="false">VALUE(MID(N500,Q500+2,90))</f>
        <v>1010</v>
      </c>
      <c r="V500" s="29" t="n">
        <f aca="false">DATE(2017,10,MID(T500,7,2))</f>
        <v>43014</v>
      </c>
    </row>
    <row r="501" customFormat="false" ht="14.25" hidden="false" customHeight="false" outlineLevel="0" collapsed="false">
      <c r="A501" s="23"/>
    </row>
    <row r="502" customFormat="false" ht="14.25" hidden="false" customHeight="false" outlineLevel="0" collapsed="false">
      <c r="A502" s="23"/>
    </row>
    <row r="503" customFormat="false" ht="14.25" hidden="false" customHeight="false" outlineLevel="0" collapsed="false">
      <c r="A503" s="23"/>
    </row>
    <row r="504" customFormat="false" ht="14.25" hidden="false" customHeight="false" outlineLevel="0" collapsed="false">
      <c r="A504" s="2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5" activeCellId="0" sqref="B5"/>
    </sheetView>
  </sheetViews>
  <sheetFormatPr defaultColWidth="9.109375" defaultRowHeight="14.25" zeroHeight="false" outlineLevelRow="0" outlineLevelCol="0"/>
  <cols>
    <col collapsed="false" customWidth="true" hidden="false" outlineLevel="0" max="1" min="1" style="14" width="15.88"/>
    <col collapsed="false" customWidth="true" hidden="false" outlineLevel="0" max="4" min="2" style="14" width="15.66"/>
    <col collapsed="false" customWidth="true" hidden="false" outlineLevel="0" max="5" min="5" style="14" width="21.67"/>
    <col collapsed="false" customWidth="true" hidden="false" outlineLevel="0" max="8" min="6" style="14" width="20.66"/>
    <col collapsed="false" customWidth="false" hidden="false" outlineLevel="0" max="16384" min="9" style="14" width="9.11"/>
  </cols>
  <sheetData>
    <row r="1" customFormat="false" ht="14.25" hidden="false" customHeight="false" outlineLevel="0" collapsed="false">
      <c r="A1" s="15"/>
      <c r="G1" s="15"/>
    </row>
    <row r="2" customFormat="false" ht="14.25" hidden="false" customHeight="false" outlineLevel="0" collapsed="false">
      <c r="A2" s="15"/>
      <c r="G2" s="23"/>
      <c r="H2" s="23"/>
      <c r="I2" s="23"/>
      <c r="J2" s="23"/>
    </row>
    <row r="3" customFormat="false" ht="14.25" hidden="false" customHeight="false" outlineLevel="0" collapsed="false">
      <c r="A3" s="15"/>
      <c r="G3" s="30"/>
      <c r="H3" s="30"/>
      <c r="I3" s="30"/>
      <c r="J3" s="30"/>
    </row>
    <row r="4" customFormat="false" ht="14.25" hidden="false" customHeight="false" outlineLevel="0" collapsed="false">
      <c r="A4" s="31" t="s">
        <v>17</v>
      </c>
      <c r="B4" s="32" t="s">
        <v>12</v>
      </c>
      <c r="C4" s="32" t="s">
        <v>515</v>
      </c>
      <c r="D4" s="33" t="s">
        <v>516</v>
      </c>
      <c r="E4" s="33" t="s">
        <v>517</v>
      </c>
      <c r="F4" s="22"/>
      <c r="G4" s="15"/>
      <c r="H4" s="15"/>
    </row>
    <row r="5" customFormat="false" ht="14.25" hidden="false" customHeight="false" outlineLevel="0" collapsed="false">
      <c r="A5" s="34" t="n">
        <v>1</v>
      </c>
      <c r="B5" s="26" t="str">
        <f aca="false">Data!R5</f>
        <v>Games</v>
      </c>
      <c r="C5" s="26" t="str">
        <f aca="false">Data!S5</f>
        <v>Barney</v>
      </c>
      <c r="D5" s="26" t="n">
        <f aca="false">Data!U5</f>
        <v>1250</v>
      </c>
      <c r="E5" s="35" t="n">
        <f aca="false">Data!V5</f>
        <v>43035</v>
      </c>
    </row>
    <row r="6" customFormat="false" ht="14.25" hidden="false" customHeight="false" outlineLevel="0" collapsed="false">
      <c r="A6" s="34" t="n">
        <f aca="false">A5+1</f>
        <v>2</v>
      </c>
      <c r="B6" s="26" t="str">
        <f aca="false">Data!R6</f>
        <v>Music</v>
      </c>
      <c r="C6" s="26" t="str">
        <f aca="false">Data!S6</f>
        <v>David</v>
      </c>
      <c r="D6" s="26" t="n">
        <f aca="false">Data!U6</f>
        <v>1054</v>
      </c>
      <c r="E6" s="35" t="n">
        <f aca="false">Data!V6</f>
        <v>43028</v>
      </c>
    </row>
    <row r="7" customFormat="false" ht="14.25" hidden="false" customHeight="false" outlineLevel="0" collapsed="false">
      <c r="A7" s="34" t="n">
        <f aca="false">A6+1</f>
        <v>3</v>
      </c>
      <c r="B7" s="26" t="str">
        <f aca="false">Data!R7</f>
        <v>Books</v>
      </c>
      <c r="C7" s="26" t="str">
        <f aca="false">Data!S7</f>
        <v>Barney</v>
      </c>
      <c r="D7" s="26" t="n">
        <f aca="false">Data!U7</f>
        <v>699</v>
      </c>
      <c r="E7" s="35" t="n">
        <f aca="false">Data!V7</f>
        <v>43035</v>
      </c>
    </row>
    <row r="8" customFormat="false" ht="14.25" hidden="false" customHeight="false" outlineLevel="0" collapsed="false">
      <c r="A8" s="34" t="n">
        <f aca="false">A7+1</f>
        <v>4</v>
      </c>
      <c r="B8" s="26" t="str">
        <f aca="false">Data!R8</f>
        <v>Music</v>
      </c>
      <c r="C8" s="26" t="str">
        <f aca="false">Data!S8</f>
        <v>Carol</v>
      </c>
      <c r="D8" s="26" t="n">
        <f aca="false">Data!U8</f>
        <v>1305</v>
      </c>
      <c r="E8" s="35" t="n">
        <f aca="false">Data!V8</f>
        <v>43039</v>
      </c>
    </row>
    <row r="9" customFormat="false" ht="14.25" hidden="false" customHeight="false" outlineLevel="0" collapsed="false">
      <c r="A9" s="34" t="n">
        <f aca="false">A8+1</f>
        <v>5</v>
      </c>
      <c r="B9" s="26" t="str">
        <f aca="false">Data!R9</f>
        <v>Games</v>
      </c>
      <c r="C9" s="26" t="str">
        <f aca="false">Data!S9</f>
        <v>David</v>
      </c>
      <c r="D9" s="26" t="n">
        <f aca="false">Data!U9</f>
        <v>0</v>
      </c>
      <c r="E9" s="35" t="n">
        <f aca="false">Data!V9</f>
        <v>43035</v>
      </c>
    </row>
    <row r="10" customFormat="false" ht="14.25" hidden="false" customHeight="false" outlineLevel="0" collapsed="false">
      <c r="A10" s="34" t="n">
        <f aca="false">A9+1</f>
        <v>6</v>
      </c>
      <c r="B10" s="26" t="str">
        <f aca="false">Data!R10</f>
        <v>Books</v>
      </c>
      <c r="C10" s="26" t="str">
        <f aca="false">Data!S10</f>
        <v>Barney</v>
      </c>
      <c r="D10" s="26" t="n">
        <f aca="false">Data!U10</f>
        <v>740</v>
      </c>
      <c r="E10" s="35" t="n">
        <f aca="false">Data!V10</f>
        <v>43034</v>
      </c>
    </row>
    <row r="11" customFormat="false" ht="14.25" hidden="false" customHeight="false" outlineLevel="0" collapsed="false">
      <c r="A11" s="34" t="n">
        <f aca="false">A10+1</f>
        <v>7</v>
      </c>
      <c r="B11" s="26" t="str">
        <f aca="false">Data!R11</f>
        <v>Clothing</v>
      </c>
      <c r="C11" s="26" t="str">
        <f aca="false">Data!S11</f>
        <v>David</v>
      </c>
      <c r="D11" s="26" t="n">
        <f aca="false">Data!U11</f>
        <v>811</v>
      </c>
      <c r="E11" s="35" t="n">
        <f aca="false">Data!V11</f>
        <v>43019</v>
      </c>
    </row>
    <row r="12" customFormat="false" ht="14.25" hidden="false" customHeight="false" outlineLevel="0" collapsed="false">
      <c r="A12" s="34" t="n">
        <f aca="false">A11+1</f>
        <v>8</v>
      </c>
      <c r="B12" s="26" t="str">
        <f aca="false">Data!R12</f>
        <v>Clothing</v>
      </c>
      <c r="C12" s="26" t="str">
        <f aca="false">Data!S12</f>
        <v>David</v>
      </c>
      <c r="D12" s="26" t="n">
        <f aca="false">Data!U12</f>
        <v>1175</v>
      </c>
      <c r="E12" s="35" t="n">
        <f aca="false">Data!V12</f>
        <v>43037</v>
      </c>
    </row>
    <row r="13" customFormat="false" ht="14.25" hidden="false" customHeight="false" outlineLevel="0" collapsed="false">
      <c r="A13" s="34" t="n">
        <f aca="false">A12+1</f>
        <v>9</v>
      </c>
      <c r="B13" s="26" t="str">
        <f aca="false">Data!R13</f>
        <v>Books</v>
      </c>
      <c r="C13" s="26" t="str">
        <f aca="false">Data!S13</f>
        <v>Alice</v>
      </c>
      <c r="D13" s="26" t="n">
        <f aca="false">Data!U13</f>
        <v>586</v>
      </c>
      <c r="E13" s="35" t="n">
        <f aca="false">Data!V13</f>
        <v>43021</v>
      </c>
    </row>
    <row r="14" customFormat="false" ht="14.25" hidden="false" customHeight="false" outlineLevel="0" collapsed="false">
      <c r="A14" s="34" t="n">
        <f aca="false">A13+1</f>
        <v>10</v>
      </c>
      <c r="B14" s="26" t="str">
        <f aca="false">Data!R14</f>
        <v>Music</v>
      </c>
      <c r="C14" s="26" t="str">
        <f aca="false">Data!S14</f>
        <v>David</v>
      </c>
      <c r="D14" s="26" t="n">
        <f aca="false">Data!U14</f>
        <v>1202</v>
      </c>
      <c r="E14" s="35" t="n">
        <f aca="false">Data!V14</f>
        <v>43023</v>
      </c>
    </row>
    <row r="15" customFormat="false" ht="14.25" hidden="false" customHeight="false" outlineLevel="0" collapsed="false">
      <c r="A15" s="34" t="n">
        <f aca="false">A14+1</f>
        <v>11</v>
      </c>
      <c r="B15" s="26" t="str">
        <f aca="false">Data!R15</f>
        <v>Games</v>
      </c>
      <c r="C15" s="26" t="str">
        <f aca="false">Data!S15</f>
        <v>David</v>
      </c>
      <c r="D15" s="26" t="n">
        <f aca="false">Data!U15</f>
        <v>0</v>
      </c>
      <c r="E15" s="35" t="n">
        <f aca="false">Data!V15</f>
        <v>43030</v>
      </c>
    </row>
    <row r="16" customFormat="false" ht="14.25" hidden="false" customHeight="false" outlineLevel="0" collapsed="false">
      <c r="A16" s="34" t="n">
        <f aca="false">A15+1</f>
        <v>12</v>
      </c>
      <c r="B16" s="26" t="str">
        <f aca="false">Data!R16</f>
        <v>Books</v>
      </c>
      <c r="C16" s="26" t="str">
        <f aca="false">Data!S16</f>
        <v>Alice</v>
      </c>
      <c r="D16" s="26" t="n">
        <f aca="false">Data!U16</f>
        <v>597</v>
      </c>
      <c r="E16" s="35" t="n">
        <f aca="false">Data!V16</f>
        <v>43009</v>
      </c>
    </row>
    <row r="17" customFormat="false" ht="14.25" hidden="false" customHeight="false" outlineLevel="0" collapsed="false">
      <c r="A17" s="34" t="n">
        <f aca="false">A16+1</f>
        <v>13</v>
      </c>
      <c r="B17" s="26" t="str">
        <f aca="false">Data!R17</f>
        <v>Music</v>
      </c>
      <c r="C17" s="26" t="str">
        <f aca="false">Data!S17</f>
        <v>Alice</v>
      </c>
      <c r="D17" s="26" t="n">
        <f aca="false">Data!U17</f>
        <v>1142</v>
      </c>
      <c r="E17" s="35" t="n">
        <f aca="false">Data!V17</f>
        <v>43039</v>
      </c>
    </row>
    <row r="18" customFormat="false" ht="14.25" hidden="false" customHeight="false" outlineLevel="0" collapsed="false">
      <c r="A18" s="34" t="n">
        <f aca="false">A17+1</f>
        <v>14</v>
      </c>
      <c r="B18" s="26" t="str">
        <f aca="false">Data!R18</f>
        <v>Clothing</v>
      </c>
      <c r="C18" s="26" t="str">
        <f aca="false">Data!S18</f>
        <v>Carol</v>
      </c>
      <c r="D18" s="26" t="n">
        <f aca="false">Data!U18</f>
        <v>1213</v>
      </c>
      <c r="E18" s="35" t="n">
        <f aca="false">Data!V18</f>
        <v>43033</v>
      </c>
    </row>
    <row r="19" customFormat="false" ht="14.25" hidden="false" customHeight="false" outlineLevel="0" collapsed="false">
      <c r="A19" s="34" t="n">
        <f aca="false">A18+1</f>
        <v>15</v>
      </c>
      <c r="B19" s="26" t="str">
        <f aca="false">Data!R19</f>
        <v>Games</v>
      </c>
      <c r="C19" s="26" t="str">
        <f aca="false">Data!S19</f>
        <v>Alice</v>
      </c>
      <c r="D19" s="26" t="n">
        <f aca="false">Data!U19</f>
        <v>0</v>
      </c>
      <c r="E19" s="35" t="n">
        <f aca="false">Data!V19</f>
        <v>43029</v>
      </c>
    </row>
    <row r="20" customFormat="false" ht="14.25" hidden="false" customHeight="false" outlineLevel="0" collapsed="false">
      <c r="A20" s="34" t="n">
        <f aca="false">A19+1</f>
        <v>16</v>
      </c>
      <c r="B20" s="26" t="str">
        <f aca="false">Data!R20</f>
        <v>Clothing</v>
      </c>
      <c r="C20" s="26" t="str">
        <f aca="false">Data!S20</f>
        <v>David</v>
      </c>
      <c r="D20" s="26" t="n">
        <f aca="false">Data!U20</f>
        <v>0</v>
      </c>
      <c r="E20" s="35" t="n">
        <f aca="false">Data!V20</f>
        <v>43021</v>
      </c>
    </row>
    <row r="21" customFormat="false" ht="14.25" hidden="false" customHeight="false" outlineLevel="0" collapsed="false">
      <c r="A21" s="34" t="n">
        <f aca="false">A20+1</f>
        <v>17</v>
      </c>
      <c r="B21" s="26" t="str">
        <f aca="false">Data!R21</f>
        <v>Books</v>
      </c>
      <c r="C21" s="26" t="str">
        <f aca="false">Data!S21</f>
        <v>Carol</v>
      </c>
      <c r="D21" s="26" t="n">
        <f aca="false">Data!U21</f>
        <v>721</v>
      </c>
      <c r="E21" s="35" t="n">
        <f aca="false">Data!V21</f>
        <v>43011</v>
      </c>
    </row>
    <row r="22" customFormat="false" ht="14.25" hidden="false" customHeight="false" outlineLevel="0" collapsed="false">
      <c r="A22" s="34" t="n">
        <f aca="false">A21+1</f>
        <v>18</v>
      </c>
      <c r="B22" s="26" t="str">
        <f aca="false">Data!R22</f>
        <v>Clothing</v>
      </c>
      <c r="C22" s="26" t="str">
        <f aca="false">Data!S22</f>
        <v>Carol</v>
      </c>
      <c r="D22" s="26" t="n">
        <f aca="false">Data!U22</f>
        <v>0</v>
      </c>
      <c r="E22" s="35" t="n">
        <f aca="false">Data!V22</f>
        <v>43034</v>
      </c>
    </row>
    <row r="23" customFormat="false" ht="14.25" hidden="false" customHeight="false" outlineLevel="0" collapsed="false">
      <c r="A23" s="34" t="n">
        <f aca="false">A22+1</f>
        <v>19</v>
      </c>
      <c r="B23" s="26" t="str">
        <f aca="false">Data!R23</f>
        <v>Clothing</v>
      </c>
      <c r="C23" s="26" t="str">
        <f aca="false">Data!S23</f>
        <v>Barney</v>
      </c>
      <c r="D23" s="26" t="n">
        <f aca="false">Data!U23</f>
        <v>945</v>
      </c>
      <c r="E23" s="35" t="n">
        <f aca="false">Data!V23</f>
        <v>43024</v>
      </c>
    </row>
    <row r="24" customFormat="false" ht="14.25" hidden="false" customHeight="false" outlineLevel="0" collapsed="false">
      <c r="A24" s="34" t="n">
        <f aca="false">A23+1</f>
        <v>20</v>
      </c>
      <c r="B24" s="26" t="str">
        <f aca="false">Data!R24</f>
        <v>Clothing</v>
      </c>
      <c r="C24" s="26" t="str">
        <f aca="false">Data!S24</f>
        <v>Barney</v>
      </c>
      <c r="D24" s="26" t="n">
        <f aca="false">Data!U24</f>
        <v>801</v>
      </c>
      <c r="E24" s="35" t="n">
        <f aca="false">Data!V24</f>
        <v>43033</v>
      </c>
    </row>
    <row r="25" customFormat="false" ht="14.25" hidden="false" customHeight="false" outlineLevel="0" collapsed="false">
      <c r="A25" s="34" t="n">
        <f aca="false">A24+1</f>
        <v>21</v>
      </c>
      <c r="B25" s="26" t="str">
        <f aca="false">Data!R25</f>
        <v>Books</v>
      </c>
      <c r="C25" s="26" t="str">
        <f aca="false">Data!S25</f>
        <v>David</v>
      </c>
      <c r="D25" s="26" t="n">
        <f aca="false">Data!U25</f>
        <v>866</v>
      </c>
      <c r="E25" s="35" t="n">
        <f aca="false">Data!V25</f>
        <v>43017</v>
      </c>
    </row>
    <row r="26" customFormat="false" ht="14.25" hidden="false" customHeight="false" outlineLevel="0" collapsed="false">
      <c r="A26" s="34" t="n">
        <f aca="false">A25+1</f>
        <v>22</v>
      </c>
      <c r="B26" s="26" t="str">
        <f aca="false">Data!R26</f>
        <v>Books</v>
      </c>
      <c r="C26" s="26" t="str">
        <f aca="false">Data!S26</f>
        <v>David</v>
      </c>
      <c r="D26" s="26" t="n">
        <f aca="false">Data!U26</f>
        <v>0</v>
      </c>
      <c r="E26" s="35" t="n">
        <f aca="false">Data!V26</f>
        <v>43025</v>
      </c>
    </row>
    <row r="27" customFormat="false" ht="14.25" hidden="false" customHeight="false" outlineLevel="0" collapsed="false">
      <c r="A27" s="34" t="n">
        <f aca="false">A26+1</f>
        <v>23</v>
      </c>
      <c r="B27" s="26" t="str">
        <f aca="false">Data!R27</f>
        <v>Clothing</v>
      </c>
      <c r="C27" s="26" t="str">
        <f aca="false">Data!S27</f>
        <v>David</v>
      </c>
      <c r="D27" s="26" t="n">
        <f aca="false">Data!U27</f>
        <v>1574</v>
      </c>
      <c r="E27" s="35" t="n">
        <f aca="false">Data!V27</f>
        <v>43012</v>
      </c>
    </row>
    <row r="28" customFormat="false" ht="14.25" hidden="false" customHeight="false" outlineLevel="0" collapsed="false">
      <c r="A28" s="34" t="n">
        <f aca="false">A27+1</f>
        <v>24</v>
      </c>
      <c r="B28" s="26" t="str">
        <f aca="false">Data!R28</f>
        <v>Music</v>
      </c>
      <c r="C28" s="26" t="str">
        <f aca="false">Data!S28</f>
        <v>Barney</v>
      </c>
      <c r="D28" s="26" t="n">
        <f aca="false">Data!U28</f>
        <v>0</v>
      </c>
      <c r="E28" s="35" t="n">
        <f aca="false">Data!V28</f>
        <v>43016</v>
      </c>
    </row>
    <row r="29" customFormat="false" ht="14.25" hidden="false" customHeight="false" outlineLevel="0" collapsed="false">
      <c r="A29" s="34" t="n">
        <f aca="false">A28+1</f>
        <v>25</v>
      </c>
      <c r="B29" s="26" t="str">
        <f aca="false">Data!R29</f>
        <v>Books</v>
      </c>
      <c r="C29" s="26" t="str">
        <f aca="false">Data!S29</f>
        <v>Carol</v>
      </c>
      <c r="D29" s="26" t="n">
        <f aca="false">Data!U29</f>
        <v>0</v>
      </c>
      <c r="E29" s="35" t="n">
        <f aca="false">Data!V29</f>
        <v>43031</v>
      </c>
    </row>
    <row r="30" customFormat="false" ht="14.25" hidden="false" customHeight="false" outlineLevel="0" collapsed="false">
      <c r="A30" s="34" t="n">
        <f aca="false">A29+1</f>
        <v>26</v>
      </c>
      <c r="B30" s="26" t="str">
        <f aca="false">Data!R30</f>
        <v>Games</v>
      </c>
      <c r="C30" s="26" t="str">
        <f aca="false">Data!S30</f>
        <v>Alice</v>
      </c>
      <c r="D30" s="26" t="n">
        <f aca="false">Data!U30</f>
        <v>1326</v>
      </c>
      <c r="E30" s="35" t="n">
        <f aca="false">Data!V30</f>
        <v>43019</v>
      </c>
    </row>
    <row r="31" customFormat="false" ht="14.25" hidden="false" customHeight="false" outlineLevel="0" collapsed="false">
      <c r="A31" s="34" t="n">
        <f aca="false">A30+1</f>
        <v>27</v>
      </c>
      <c r="B31" s="26" t="str">
        <f aca="false">Data!R31</f>
        <v>Clothing</v>
      </c>
      <c r="C31" s="26" t="str">
        <f aca="false">Data!S31</f>
        <v>David</v>
      </c>
      <c r="D31" s="26" t="n">
        <f aca="false">Data!U31</f>
        <v>1044</v>
      </c>
      <c r="E31" s="35" t="n">
        <f aca="false">Data!V31</f>
        <v>43034</v>
      </c>
    </row>
    <row r="32" customFormat="false" ht="14.25" hidden="false" customHeight="false" outlineLevel="0" collapsed="false">
      <c r="A32" s="34" t="n">
        <f aca="false">A31+1</f>
        <v>28</v>
      </c>
      <c r="B32" s="26" t="str">
        <f aca="false">Data!R32</f>
        <v>Books</v>
      </c>
      <c r="C32" s="26" t="str">
        <f aca="false">Data!S32</f>
        <v>Carol</v>
      </c>
      <c r="D32" s="26" t="n">
        <f aca="false">Data!U32</f>
        <v>0</v>
      </c>
      <c r="E32" s="35" t="n">
        <f aca="false">Data!V32</f>
        <v>43010</v>
      </c>
    </row>
    <row r="33" customFormat="false" ht="14.25" hidden="false" customHeight="false" outlineLevel="0" collapsed="false">
      <c r="A33" s="34" t="n">
        <f aca="false">A32+1</f>
        <v>29</v>
      </c>
      <c r="B33" s="26" t="str">
        <f aca="false">Data!R33</f>
        <v>Books</v>
      </c>
      <c r="C33" s="26" t="str">
        <f aca="false">Data!S33</f>
        <v>Carol</v>
      </c>
      <c r="D33" s="26" t="n">
        <f aca="false">Data!U33</f>
        <v>718</v>
      </c>
      <c r="E33" s="35" t="n">
        <f aca="false">Data!V33</f>
        <v>43012</v>
      </c>
    </row>
    <row r="34" customFormat="false" ht="14.25" hidden="false" customHeight="false" outlineLevel="0" collapsed="false">
      <c r="A34" s="34" t="n">
        <f aca="false">A33+1</f>
        <v>30</v>
      </c>
      <c r="B34" s="26" t="str">
        <f aca="false">Data!R34</f>
        <v>Games</v>
      </c>
      <c r="C34" s="26" t="str">
        <f aca="false">Data!S34</f>
        <v>Alice</v>
      </c>
      <c r="D34" s="26" t="n">
        <f aca="false">Data!U34</f>
        <v>1683</v>
      </c>
      <c r="E34" s="35" t="n">
        <f aca="false">Data!V34</f>
        <v>43035</v>
      </c>
    </row>
    <row r="35" customFormat="false" ht="14.25" hidden="false" customHeight="false" outlineLevel="0" collapsed="false">
      <c r="A35" s="34" t="n">
        <f aca="false">A34+1</f>
        <v>31</v>
      </c>
      <c r="B35" s="26" t="str">
        <f aca="false">Data!R35</f>
        <v>Clothing</v>
      </c>
      <c r="C35" s="26" t="str">
        <f aca="false">Data!S35</f>
        <v>Carol</v>
      </c>
      <c r="D35" s="26" t="n">
        <f aca="false">Data!U35</f>
        <v>794</v>
      </c>
      <c r="E35" s="35" t="n">
        <f aca="false">Data!V35</f>
        <v>43025</v>
      </c>
    </row>
    <row r="36" customFormat="false" ht="14.25" hidden="false" customHeight="false" outlineLevel="0" collapsed="false">
      <c r="A36" s="34" t="n">
        <f aca="false">A35+1</f>
        <v>32</v>
      </c>
      <c r="B36" s="26" t="str">
        <f aca="false">Data!R36</f>
        <v>Games</v>
      </c>
      <c r="C36" s="26" t="str">
        <f aca="false">Data!S36</f>
        <v>Alice</v>
      </c>
      <c r="D36" s="26" t="n">
        <f aca="false">Data!U36</f>
        <v>1747</v>
      </c>
      <c r="E36" s="35" t="n">
        <f aca="false">Data!V36</f>
        <v>43031</v>
      </c>
    </row>
    <row r="37" customFormat="false" ht="14.25" hidden="false" customHeight="false" outlineLevel="0" collapsed="false">
      <c r="A37" s="34" t="n">
        <f aca="false">A36+1</f>
        <v>33</v>
      </c>
      <c r="B37" s="26" t="str">
        <f aca="false">Data!R37</f>
        <v>Games</v>
      </c>
      <c r="C37" s="26" t="str">
        <f aca="false">Data!S37</f>
        <v>David</v>
      </c>
      <c r="D37" s="26" t="n">
        <f aca="false">Data!U37</f>
        <v>1489</v>
      </c>
      <c r="E37" s="35" t="n">
        <f aca="false">Data!V37</f>
        <v>43015</v>
      </c>
    </row>
    <row r="38" customFormat="false" ht="14.25" hidden="false" customHeight="false" outlineLevel="0" collapsed="false">
      <c r="A38" s="34" t="n">
        <f aca="false">A37+1</f>
        <v>34</v>
      </c>
      <c r="B38" s="26" t="str">
        <f aca="false">Data!R38</f>
        <v>Clothing</v>
      </c>
      <c r="C38" s="26" t="str">
        <f aca="false">Data!S38</f>
        <v>Carol</v>
      </c>
      <c r="D38" s="26" t="n">
        <f aca="false">Data!U38</f>
        <v>681</v>
      </c>
      <c r="E38" s="35" t="n">
        <f aca="false">Data!V38</f>
        <v>43032</v>
      </c>
    </row>
    <row r="39" customFormat="false" ht="14.25" hidden="false" customHeight="false" outlineLevel="0" collapsed="false">
      <c r="A39" s="34" t="n">
        <f aca="false">A38+1</f>
        <v>35</v>
      </c>
      <c r="B39" s="26" t="str">
        <f aca="false">Data!R39</f>
        <v>Clothing</v>
      </c>
      <c r="C39" s="26" t="str">
        <f aca="false">Data!S39</f>
        <v>Carol</v>
      </c>
      <c r="D39" s="26" t="n">
        <f aca="false">Data!U39</f>
        <v>0</v>
      </c>
      <c r="E39" s="35" t="n">
        <f aca="false">Data!V39</f>
        <v>43038</v>
      </c>
    </row>
    <row r="40" customFormat="false" ht="14.25" hidden="false" customHeight="false" outlineLevel="0" collapsed="false">
      <c r="A40" s="34" t="n">
        <f aca="false">A39+1</f>
        <v>36</v>
      </c>
      <c r="B40" s="26" t="str">
        <f aca="false">Data!R40</f>
        <v>Music</v>
      </c>
      <c r="C40" s="26" t="str">
        <f aca="false">Data!S40</f>
        <v>Alice</v>
      </c>
      <c r="D40" s="26" t="n">
        <f aca="false">Data!U40</f>
        <v>0</v>
      </c>
      <c r="E40" s="35" t="n">
        <f aca="false">Data!V40</f>
        <v>43028</v>
      </c>
    </row>
    <row r="41" customFormat="false" ht="14.25" hidden="false" customHeight="false" outlineLevel="0" collapsed="false">
      <c r="A41" s="34" t="n">
        <f aca="false">A40+1</f>
        <v>37</v>
      </c>
      <c r="B41" s="26" t="str">
        <f aca="false">Data!R41</f>
        <v>Books</v>
      </c>
      <c r="C41" s="26" t="str">
        <f aca="false">Data!S41</f>
        <v>David</v>
      </c>
      <c r="D41" s="26" t="n">
        <f aca="false">Data!U41</f>
        <v>960</v>
      </c>
      <c r="E41" s="35" t="n">
        <f aca="false">Data!V41</f>
        <v>43029</v>
      </c>
    </row>
    <row r="42" customFormat="false" ht="14.25" hidden="false" customHeight="false" outlineLevel="0" collapsed="false">
      <c r="A42" s="34" t="n">
        <f aca="false">A41+1</f>
        <v>38</v>
      </c>
      <c r="B42" s="26" t="str">
        <f aca="false">Data!R42</f>
        <v>Books</v>
      </c>
      <c r="C42" s="26" t="str">
        <f aca="false">Data!S42</f>
        <v>Carol</v>
      </c>
      <c r="D42" s="26" t="n">
        <f aca="false">Data!U42</f>
        <v>731</v>
      </c>
      <c r="E42" s="35" t="n">
        <f aca="false">Data!V42</f>
        <v>43038</v>
      </c>
    </row>
    <row r="43" customFormat="false" ht="14.25" hidden="false" customHeight="false" outlineLevel="0" collapsed="false">
      <c r="A43" s="34" t="n">
        <f aca="false">A42+1</f>
        <v>39</v>
      </c>
      <c r="B43" s="26" t="str">
        <f aca="false">Data!R43</f>
        <v>Games</v>
      </c>
      <c r="C43" s="26" t="str">
        <f aca="false">Data!S43</f>
        <v>David</v>
      </c>
      <c r="D43" s="26" t="n">
        <f aca="false">Data!U43</f>
        <v>2153</v>
      </c>
      <c r="E43" s="35" t="n">
        <f aca="false">Data!V43</f>
        <v>43010</v>
      </c>
    </row>
    <row r="44" customFormat="false" ht="14.25" hidden="false" customHeight="false" outlineLevel="0" collapsed="false">
      <c r="A44" s="34" t="n">
        <f aca="false">A43+1</f>
        <v>40</v>
      </c>
      <c r="B44" s="26" t="str">
        <f aca="false">Data!R44</f>
        <v>Music</v>
      </c>
      <c r="C44" s="26" t="str">
        <f aca="false">Data!S44</f>
        <v>Alice</v>
      </c>
      <c r="D44" s="26" t="n">
        <f aca="false">Data!U44</f>
        <v>0</v>
      </c>
      <c r="E44" s="35" t="n">
        <f aca="false">Data!V44</f>
        <v>43019</v>
      </c>
    </row>
    <row r="45" customFormat="false" ht="14.25" hidden="false" customHeight="false" outlineLevel="0" collapsed="false">
      <c r="A45" s="34" t="n">
        <f aca="false">A44+1</f>
        <v>41</v>
      </c>
      <c r="B45" s="26" t="str">
        <f aca="false">Data!R45</f>
        <v>Books</v>
      </c>
      <c r="C45" s="26" t="str">
        <f aca="false">Data!S45</f>
        <v>Carol</v>
      </c>
      <c r="D45" s="26" t="n">
        <f aca="false">Data!U45</f>
        <v>754</v>
      </c>
      <c r="E45" s="35" t="n">
        <f aca="false">Data!V45</f>
        <v>43023</v>
      </c>
    </row>
    <row r="46" customFormat="false" ht="14.25" hidden="false" customHeight="false" outlineLevel="0" collapsed="false">
      <c r="A46" s="34" t="n">
        <f aca="false">A45+1</f>
        <v>42</v>
      </c>
      <c r="B46" s="26" t="str">
        <f aca="false">Data!R46</f>
        <v>Music</v>
      </c>
      <c r="C46" s="26" t="str">
        <f aca="false">Data!S46</f>
        <v>Carol</v>
      </c>
      <c r="D46" s="26" t="n">
        <f aca="false">Data!U46</f>
        <v>0</v>
      </c>
      <c r="E46" s="35" t="n">
        <f aca="false">Data!V46</f>
        <v>43020</v>
      </c>
    </row>
    <row r="47" customFormat="false" ht="14.25" hidden="false" customHeight="false" outlineLevel="0" collapsed="false">
      <c r="A47" s="34" t="n">
        <f aca="false">A46+1</f>
        <v>43</v>
      </c>
      <c r="B47" s="26" t="str">
        <f aca="false">Data!R47</f>
        <v>Clothing</v>
      </c>
      <c r="C47" s="26" t="str">
        <f aca="false">Data!S47</f>
        <v>Barney</v>
      </c>
      <c r="D47" s="26" t="n">
        <f aca="false">Data!U47</f>
        <v>1944</v>
      </c>
      <c r="E47" s="35" t="n">
        <f aca="false">Data!V47</f>
        <v>43017</v>
      </c>
    </row>
    <row r="48" customFormat="false" ht="14.25" hidden="false" customHeight="false" outlineLevel="0" collapsed="false">
      <c r="A48" s="34" t="n">
        <f aca="false">A47+1</f>
        <v>44</v>
      </c>
      <c r="B48" s="26" t="str">
        <f aca="false">Data!R48</f>
        <v>Clothing</v>
      </c>
      <c r="C48" s="26" t="str">
        <f aca="false">Data!S48</f>
        <v>Carol</v>
      </c>
      <c r="D48" s="26" t="n">
        <f aca="false">Data!U48</f>
        <v>808</v>
      </c>
      <c r="E48" s="35" t="n">
        <f aca="false">Data!V48</f>
        <v>43022</v>
      </c>
    </row>
    <row r="49" customFormat="false" ht="14.25" hidden="false" customHeight="false" outlineLevel="0" collapsed="false">
      <c r="A49" s="34" t="n">
        <f aca="false">A48+1</f>
        <v>45</v>
      </c>
      <c r="B49" s="26" t="str">
        <f aca="false">Data!R49</f>
        <v>Clothing</v>
      </c>
      <c r="C49" s="26" t="str">
        <f aca="false">Data!S49</f>
        <v>Carol</v>
      </c>
      <c r="D49" s="26" t="n">
        <f aca="false">Data!U49</f>
        <v>1732</v>
      </c>
      <c r="E49" s="35" t="n">
        <f aca="false">Data!V49</f>
        <v>43018</v>
      </c>
    </row>
    <row r="50" customFormat="false" ht="14.25" hidden="false" customHeight="false" outlineLevel="0" collapsed="false">
      <c r="A50" s="34" t="n">
        <f aca="false">A49+1</f>
        <v>46</v>
      </c>
      <c r="B50" s="26" t="str">
        <f aca="false">Data!R50</f>
        <v>Games</v>
      </c>
      <c r="C50" s="26" t="str">
        <f aca="false">Data!S50</f>
        <v>Barney</v>
      </c>
      <c r="D50" s="26" t="n">
        <f aca="false">Data!U50</f>
        <v>2493</v>
      </c>
      <c r="E50" s="35" t="n">
        <f aca="false">Data!V50</f>
        <v>43026</v>
      </c>
    </row>
    <row r="51" customFormat="false" ht="14.25" hidden="false" customHeight="false" outlineLevel="0" collapsed="false">
      <c r="A51" s="34" t="n">
        <f aca="false">A50+1</f>
        <v>47</v>
      </c>
      <c r="B51" s="26" t="str">
        <f aca="false">Data!R51</f>
        <v>Music</v>
      </c>
      <c r="C51" s="26" t="str">
        <f aca="false">Data!S51</f>
        <v>Barney</v>
      </c>
      <c r="D51" s="26" t="n">
        <f aca="false">Data!U51</f>
        <v>0</v>
      </c>
      <c r="E51" s="35" t="n">
        <f aca="false">Data!V51</f>
        <v>43017</v>
      </c>
    </row>
    <row r="52" customFormat="false" ht="14.25" hidden="false" customHeight="false" outlineLevel="0" collapsed="false">
      <c r="A52" s="34" t="n">
        <f aca="false">A51+1</f>
        <v>48</v>
      </c>
      <c r="B52" s="26" t="str">
        <f aca="false">Data!R52</f>
        <v>Music</v>
      </c>
      <c r="C52" s="26" t="str">
        <f aca="false">Data!S52</f>
        <v>Barney</v>
      </c>
      <c r="D52" s="26" t="n">
        <f aca="false">Data!U52</f>
        <v>0</v>
      </c>
      <c r="E52" s="35" t="n">
        <f aca="false">Data!V52</f>
        <v>43035</v>
      </c>
    </row>
    <row r="53" customFormat="false" ht="14.25" hidden="false" customHeight="false" outlineLevel="0" collapsed="false">
      <c r="A53" s="34" t="n">
        <f aca="false">A52+1</f>
        <v>49</v>
      </c>
      <c r="B53" s="26" t="str">
        <f aca="false">Data!R53</f>
        <v>Games</v>
      </c>
      <c r="C53" s="26" t="str">
        <f aca="false">Data!S53</f>
        <v>Carol</v>
      </c>
      <c r="D53" s="26" t="n">
        <f aca="false">Data!U53</f>
        <v>1893</v>
      </c>
      <c r="E53" s="35" t="n">
        <f aca="false">Data!V53</f>
        <v>43032</v>
      </c>
    </row>
    <row r="54" customFormat="false" ht="14.25" hidden="false" customHeight="false" outlineLevel="0" collapsed="false">
      <c r="A54" s="34" t="n">
        <f aca="false">A53+1</f>
        <v>50</v>
      </c>
      <c r="B54" s="26" t="str">
        <f aca="false">Data!R54</f>
        <v>Music</v>
      </c>
      <c r="C54" s="26" t="str">
        <f aca="false">Data!S54</f>
        <v>David</v>
      </c>
      <c r="D54" s="26" t="n">
        <f aca="false">Data!U54</f>
        <v>1303</v>
      </c>
      <c r="E54" s="35" t="n">
        <f aca="false">Data!V54</f>
        <v>43035</v>
      </c>
    </row>
    <row r="55" customFormat="false" ht="14.25" hidden="false" customHeight="false" outlineLevel="0" collapsed="false">
      <c r="A55" s="34" t="n">
        <f aca="false">A54+1</f>
        <v>51</v>
      </c>
      <c r="B55" s="26" t="str">
        <f aca="false">Data!R55</f>
        <v>Clothing</v>
      </c>
      <c r="C55" s="26" t="str">
        <f aca="false">Data!S55</f>
        <v>Alice</v>
      </c>
      <c r="D55" s="26" t="n">
        <f aca="false">Data!U55</f>
        <v>1991</v>
      </c>
      <c r="E55" s="35" t="n">
        <f aca="false">Data!V55</f>
        <v>43013</v>
      </c>
    </row>
    <row r="56" customFormat="false" ht="14.25" hidden="false" customHeight="false" outlineLevel="0" collapsed="false">
      <c r="A56" s="34" t="n">
        <f aca="false">A55+1</f>
        <v>52</v>
      </c>
      <c r="B56" s="26" t="str">
        <f aca="false">Data!R56</f>
        <v>Music</v>
      </c>
      <c r="C56" s="26" t="str">
        <f aca="false">Data!S56</f>
        <v>David</v>
      </c>
      <c r="D56" s="26" t="n">
        <f aca="false">Data!U56</f>
        <v>1288</v>
      </c>
      <c r="E56" s="35" t="n">
        <f aca="false">Data!V56</f>
        <v>43034</v>
      </c>
    </row>
    <row r="57" customFormat="false" ht="14.25" hidden="false" customHeight="false" outlineLevel="0" collapsed="false">
      <c r="A57" s="34" t="n">
        <f aca="false">A56+1</f>
        <v>53</v>
      </c>
      <c r="B57" s="26" t="str">
        <f aca="false">Data!R57</f>
        <v>Clothing</v>
      </c>
      <c r="C57" s="26" t="str">
        <f aca="false">Data!S57</f>
        <v>Alice</v>
      </c>
      <c r="D57" s="26" t="n">
        <f aca="false">Data!U57</f>
        <v>1757</v>
      </c>
      <c r="E57" s="35" t="n">
        <f aca="false">Data!V57</f>
        <v>43026</v>
      </c>
    </row>
    <row r="58" customFormat="false" ht="14.25" hidden="false" customHeight="false" outlineLevel="0" collapsed="false">
      <c r="A58" s="34" t="n">
        <f aca="false">A57+1</f>
        <v>54</v>
      </c>
      <c r="B58" s="26" t="str">
        <f aca="false">Data!R58</f>
        <v>Games</v>
      </c>
      <c r="C58" s="26" t="str">
        <f aca="false">Data!S58</f>
        <v>Alice</v>
      </c>
      <c r="D58" s="26" t="n">
        <f aca="false">Data!U58</f>
        <v>2406</v>
      </c>
      <c r="E58" s="35" t="n">
        <f aca="false">Data!V58</f>
        <v>43033</v>
      </c>
    </row>
    <row r="59" customFormat="false" ht="14.25" hidden="false" customHeight="false" outlineLevel="0" collapsed="false">
      <c r="A59" s="34" t="n">
        <f aca="false">A58+1</f>
        <v>55</v>
      </c>
      <c r="B59" s="26" t="str">
        <f aca="false">Data!R59</f>
        <v>Music</v>
      </c>
      <c r="C59" s="26" t="str">
        <f aca="false">Data!S59</f>
        <v>Barney</v>
      </c>
      <c r="D59" s="26" t="n">
        <f aca="false">Data!U59</f>
        <v>1155</v>
      </c>
      <c r="E59" s="35" t="n">
        <f aca="false">Data!V59</f>
        <v>43039</v>
      </c>
    </row>
    <row r="60" customFormat="false" ht="14.25" hidden="false" customHeight="false" outlineLevel="0" collapsed="false">
      <c r="A60" s="34" t="n">
        <f aca="false">A59+1</f>
        <v>56</v>
      </c>
      <c r="B60" s="26" t="str">
        <f aca="false">Data!R60</f>
        <v>Games</v>
      </c>
      <c r="C60" s="26" t="str">
        <f aca="false">Data!S60</f>
        <v>Carol</v>
      </c>
      <c r="D60" s="26" t="n">
        <f aca="false">Data!U60</f>
        <v>1107</v>
      </c>
      <c r="E60" s="35" t="n">
        <f aca="false">Data!V60</f>
        <v>43028</v>
      </c>
    </row>
    <row r="61" customFormat="false" ht="14.25" hidden="false" customHeight="false" outlineLevel="0" collapsed="false">
      <c r="A61" s="34" t="n">
        <f aca="false">A60+1</f>
        <v>57</v>
      </c>
      <c r="B61" s="26" t="str">
        <f aca="false">Data!R61</f>
        <v>Clothing</v>
      </c>
      <c r="C61" s="26" t="str">
        <f aca="false">Data!S61</f>
        <v>Alice</v>
      </c>
      <c r="D61" s="26" t="n">
        <f aca="false">Data!U61</f>
        <v>1986</v>
      </c>
      <c r="E61" s="35" t="n">
        <f aca="false">Data!V61</f>
        <v>43023</v>
      </c>
    </row>
    <row r="62" customFormat="false" ht="14.25" hidden="false" customHeight="false" outlineLevel="0" collapsed="false">
      <c r="A62" s="34" t="n">
        <f aca="false">A61+1</f>
        <v>58</v>
      </c>
      <c r="B62" s="26" t="str">
        <f aca="false">Data!R62</f>
        <v>Books</v>
      </c>
      <c r="C62" s="26" t="str">
        <f aca="false">Data!S62</f>
        <v>David</v>
      </c>
      <c r="D62" s="26" t="n">
        <f aca="false">Data!U62</f>
        <v>987</v>
      </c>
      <c r="E62" s="35" t="n">
        <f aca="false">Data!V62</f>
        <v>43018</v>
      </c>
    </row>
    <row r="63" customFormat="false" ht="14.25" hidden="false" customHeight="false" outlineLevel="0" collapsed="false">
      <c r="A63" s="34" t="n">
        <f aca="false">A62+1</f>
        <v>59</v>
      </c>
      <c r="B63" s="26" t="str">
        <f aca="false">Data!R63</f>
        <v>Games</v>
      </c>
      <c r="C63" s="26" t="str">
        <f aca="false">Data!S63</f>
        <v>David</v>
      </c>
      <c r="D63" s="26" t="n">
        <f aca="false">Data!U63</f>
        <v>0</v>
      </c>
      <c r="E63" s="35" t="n">
        <f aca="false">Data!V63</f>
        <v>43023</v>
      </c>
    </row>
    <row r="64" customFormat="false" ht="14.25" hidden="false" customHeight="false" outlineLevel="0" collapsed="false">
      <c r="A64" s="34" t="n">
        <f aca="false">A63+1</f>
        <v>60</v>
      </c>
      <c r="B64" s="26" t="str">
        <f aca="false">Data!R64</f>
        <v>Music</v>
      </c>
      <c r="C64" s="26" t="str">
        <f aca="false">Data!S64</f>
        <v>David</v>
      </c>
      <c r="D64" s="26" t="n">
        <f aca="false">Data!U64</f>
        <v>1355</v>
      </c>
      <c r="E64" s="35" t="n">
        <f aca="false">Data!V64</f>
        <v>43016</v>
      </c>
    </row>
    <row r="65" customFormat="false" ht="14.25" hidden="false" customHeight="false" outlineLevel="0" collapsed="false">
      <c r="A65" s="34" t="n">
        <f aca="false">A64+1</f>
        <v>61</v>
      </c>
      <c r="B65" s="26" t="str">
        <f aca="false">Data!R65</f>
        <v>Games</v>
      </c>
      <c r="C65" s="26" t="str">
        <f aca="false">Data!S65</f>
        <v>David</v>
      </c>
      <c r="D65" s="26" t="n">
        <f aca="false">Data!U65</f>
        <v>1466</v>
      </c>
      <c r="E65" s="35" t="n">
        <f aca="false">Data!V65</f>
        <v>43034</v>
      </c>
    </row>
    <row r="66" customFormat="false" ht="14.25" hidden="false" customHeight="false" outlineLevel="0" collapsed="false">
      <c r="A66" s="34" t="n">
        <f aca="false">A65+1</f>
        <v>62</v>
      </c>
      <c r="B66" s="26" t="str">
        <f aca="false">Data!R66</f>
        <v>Books</v>
      </c>
      <c r="C66" s="26" t="str">
        <f aca="false">Data!S66</f>
        <v>Carol</v>
      </c>
      <c r="D66" s="26" t="n">
        <f aca="false">Data!U66</f>
        <v>591</v>
      </c>
      <c r="E66" s="35" t="n">
        <f aca="false">Data!V66</f>
        <v>43016</v>
      </c>
    </row>
    <row r="67" customFormat="false" ht="14.25" hidden="false" customHeight="false" outlineLevel="0" collapsed="false">
      <c r="A67" s="34" t="n">
        <f aca="false">A66+1</f>
        <v>63</v>
      </c>
      <c r="B67" s="26" t="str">
        <f aca="false">Data!R67</f>
        <v>Books</v>
      </c>
      <c r="C67" s="26" t="str">
        <f aca="false">Data!S67</f>
        <v>David</v>
      </c>
      <c r="D67" s="26" t="n">
        <f aca="false">Data!U67</f>
        <v>564</v>
      </c>
      <c r="E67" s="35" t="n">
        <f aca="false">Data!V67</f>
        <v>43027</v>
      </c>
    </row>
    <row r="68" customFormat="false" ht="14.25" hidden="false" customHeight="false" outlineLevel="0" collapsed="false">
      <c r="A68" s="34" t="n">
        <f aca="false">A67+1</f>
        <v>64</v>
      </c>
      <c r="B68" s="26" t="str">
        <f aca="false">Data!R68</f>
        <v>Clothing</v>
      </c>
      <c r="C68" s="26" t="str">
        <f aca="false">Data!S68</f>
        <v>Barney</v>
      </c>
      <c r="D68" s="26" t="n">
        <f aca="false">Data!U68</f>
        <v>1875</v>
      </c>
      <c r="E68" s="35" t="n">
        <f aca="false">Data!V68</f>
        <v>43028</v>
      </c>
    </row>
    <row r="69" customFormat="false" ht="14.25" hidden="false" customHeight="false" outlineLevel="0" collapsed="false">
      <c r="A69" s="34" t="n">
        <f aca="false">A68+1</f>
        <v>65</v>
      </c>
      <c r="B69" s="26" t="str">
        <f aca="false">Data!R69</f>
        <v>Games</v>
      </c>
      <c r="C69" s="26" t="str">
        <f aca="false">Data!S69</f>
        <v>Barney</v>
      </c>
      <c r="D69" s="26" t="n">
        <f aca="false">Data!U69</f>
        <v>0</v>
      </c>
      <c r="E69" s="35" t="n">
        <f aca="false">Data!V69</f>
        <v>43032</v>
      </c>
    </row>
    <row r="70" customFormat="false" ht="14.25" hidden="false" customHeight="false" outlineLevel="0" collapsed="false">
      <c r="A70" s="34" t="n">
        <f aca="false">A69+1</f>
        <v>66</v>
      </c>
      <c r="B70" s="26" t="str">
        <f aca="false">Data!R70</f>
        <v>Clothing</v>
      </c>
      <c r="C70" s="26" t="str">
        <f aca="false">Data!S70</f>
        <v>David</v>
      </c>
      <c r="D70" s="26" t="n">
        <f aca="false">Data!U70</f>
        <v>1564</v>
      </c>
      <c r="E70" s="35" t="n">
        <f aca="false">Data!V70</f>
        <v>43015</v>
      </c>
    </row>
    <row r="71" customFormat="false" ht="14.25" hidden="false" customHeight="false" outlineLevel="0" collapsed="false">
      <c r="A71" s="34" t="n">
        <f aca="false">A70+1</f>
        <v>67</v>
      </c>
      <c r="B71" s="26" t="str">
        <f aca="false">Data!R71</f>
        <v>Games</v>
      </c>
      <c r="C71" s="26" t="str">
        <f aca="false">Data!S71</f>
        <v>Carol</v>
      </c>
      <c r="D71" s="26" t="n">
        <f aca="false">Data!U71</f>
        <v>0</v>
      </c>
      <c r="E71" s="35" t="n">
        <f aca="false">Data!V71</f>
        <v>43015</v>
      </c>
    </row>
    <row r="72" customFormat="false" ht="14.25" hidden="false" customHeight="false" outlineLevel="0" collapsed="false">
      <c r="A72" s="34" t="n">
        <f aca="false">A71+1</f>
        <v>68</v>
      </c>
      <c r="B72" s="26" t="str">
        <f aca="false">Data!R72</f>
        <v>Books</v>
      </c>
      <c r="C72" s="26" t="str">
        <f aca="false">Data!S72</f>
        <v>Carol</v>
      </c>
      <c r="D72" s="26" t="n">
        <f aca="false">Data!U72</f>
        <v>0</v>
      </c>
      <c r="E72" s="35" t="n">
        <f aca="false">Data!V72</f>
        <v>43027</v>
      </c>
    </row>
    <row r="73" customFormat="false" ht="14.25" hidden="false" customHeight="false" outlineLevel="0" collapsed="false">
      <c r="A73" s="34" t="n">
        <f aca="false">A72+1</f>
        <v>69</v>
      </c>
      <c r="B73" s="26" t="str">
        <f aca="false">Data!R73</f>
        <v>Games</v>
      </c>
      <c r="C73" s="26" t="str">
        <f aca="false">Data!S73</f>
        <v>Carol</v>
      </c>
      <c r="D73" s="26" t="n">
        <f aca="false">Data!U73</f>
        <v>0</v>
      </c>
      <c r="E73" s="35" t="n">
        <f aca="false">Data!V73</f>
        <v>43018</v>
      </c>
    </row>
    <row r="74" customFormat="false" ht="14.25" hidden="false" customHeight="false" outlineLevel="0" collapsed="false">
      <c r="A74" s="34" t="n">
        <f aca="false">A73+1</f>
        <v>70</v>
      </c>
      <c r="B74" s="26" t="str">
        <f aca="false">Data!R74</f>
        <v>Music</v>
      </c>
      <c r="C74" s="26" t="str">
        <f aca="false">Data!S74</f>
        <v>Barney</v>
      </c>
      <c r="D74" s="26" t="n">
        <f aca="false">Data!U74</f>
        <v>0</v>
      </c>
      <c r="E74" s="35" t="n">
        <f aca="false">Data!V74</f>
        <v>43028</v>
      </c>
    </row>
    <row r="75" customFormat="false" ht="14.25" hidden="false" customHeight="false" outlineLevel="0" collapsed="false">
      <c r="A75" s="34" t="n">
        <f aca="false">A74+1</f>
        <v>71</v>
      </c>
      <c r="B75" s="26" t="str">
        <f aca="false">Data!R75</f>
        <v>Books</v>
      </c>
      <c r="C75" s="26" t="str">
        <f aca="false">Data!S75</f>
        <v>Carol</v>
      </c>
      <c r="D75" s="26" t="n">
        <f aca="false">Data!U75</f>
        <v>582</v>
      </c>
      <c r="E75" s="35" t="n">
        <f aca="false">Data!V75</f>
        <v>43029</v>
      </c>
    </row>
    <row r="76" customFormat="false" ht="14.25" hidden="false" customHeight="false" outlineLevel="0" collapsed="false">
      <c r="A76" s="34" t="n">
        <f aca="false">A75+1</f>
        <v>72</v>
      </c>
      <c r="B76" s="26" t="str">
        <f aca="false">Data!R76</f>
        <v>Clothing</v>
      </c>
      <c r="C76" s="26" t="str">
        <f aca="false">Data!S76</f>
        <v>Carol</v>
      </c>
      <c r="D76" s="26" t="n">
        <f aca="false">Data!U76</f>
        <v>0</v>
      </c>
      <c r="E76" s="35" t="n">
        <f aca="false">Data!V76</f>
        <v>43021</v>
      </c>
    </row>
    <row r="77" customFormat="false" ht="14.25" hidden="false" customHeight="false" outlineLevel="0" collapsed="false">
      <c r="A77" s="34" t="n">
        <f aca="false">A76+1</f>
        <v>73</v>
      </c>
      <c r="B77" s="26" t="str">
        <f aca="false">Data!R77</f>
        <v>Games</v>
      </c>
      <c r="C77" s="26" t="str">
        <f aca="false">Data!S77</f>
        <v>Carol</v>
      </c>
      <c r="D77" s="26" t="n">
        <f aca="false">Data!U77</f>
        <v>893</v>
      </c>
      <c r="E77" s="35" t="n">
        <f aca="false">Data!V77</f>
        <v>43017</v>
      </c>
    </row>
    <row r="78" customFormat="false" ht="14.25" hidden="false" customHeight="false" outlineLevel="0" collapsed="false">
      <c r="A78" s="34" t="n">
        <f aca="false">A77+1</f>
        <v>74</v>
      </c>
      <c r="B78" s="26" t="str">
        <f aca="false">Data!R78</f>
        <v>Music</v>
      </c>
      <c r="C78" s="26" t="str">
        <f aca="false">Data!S78</f>
        <v>Alice</v>
      </c>
      <c r="D78" s="26" t="n">
        <f aca="false">Data!U78</f>
        <v>1447</v>
      </c>
      <c r="E78" s="35" t="n">
        <f aca="false">Data!V78</f>
        <v>43020</v>
      </c>
    </row>
    <row r="79" customFormat="false" ht="14.25" hidden="false" customHeight="false" outlineLevel="0" collapsed="false">
      <c r="A79" s="34" t="n">
        <f aca="false">A78+1</f>
        <v>75</v>
      </c>
      <c r="B79" s="26" t="str">
        <f aca="false">Data!R79</f>
        <v>Clothing</v>
      </c>
      <c r="C79" s="26" t="str">
        <f aca="false">Data!S79</f>
        <v>Barney</v>
      </c>
      <c r="D79" s="26" t="n">
        <f aca="false">Data!U79</f>
        <v>1395</v>
      </c>
      <c r="E79" s="35" t="n">
        <f aca="false">Data!V79</f>
        <v>43032</v>
      </c>
    </row>
    <row r="80" customFormat="false" ht="14.25" hidden="false" customHeight="false" outlineLevel="0" collapsed="false">
      <c r="A80" s="34" t="n">
        <f aca="false">A79+1</f>
        <v>76</v>
      </c>
      <c r="B80" s="26" t="str">
        <f aca="false">Data!R80</f>
        <v>Clothing</v>
      </c>
      <c r="C80" s="26" t="str">
        <f aca="false">Data!S80</f>
        <v>Alice</v>
      </c>
      <c r="D80" s="26" t="n">
        <f aca="false">Data!U80</f>
        <v>729</v>
      </c>
      <c r="E80" s="35" t="n">
        <f aca="false">Data!V80</f>
        <v>43033</v>
      </c>
    </row>
    <row r="81" customFormat="false" ht="14.25" hidden="false" customHeight="false" outlineLevel="0" collapsed="false">
      <c r="A81" s="34" t="n">
        <f aca="false">A80+1</f>
        <v>77</v>
      </c>
      <c r="B81" s="26" t="str">
        <f aca="false">Data!R81</f>
        <v>Clothing</v>
      </c>
      <c r="C81" s="26" t="str">
        <f aca="false">Data!S81</f>
        <v>Carol</v>
      </c>
      <c r="D81" s="26" t="n">
        <f aca="false">Data!U81</f>
        <v>819</v>
      </c>
      <c r="E81" s="35" t="n">
        <f aca="false">Data!V81</f>
        <v>43012</v>
      </c>
    </row>
    <row r="82" customFormat="false" ht="14.25" hidden="false" customHeight="false" outlineLevel="0" collapsed="false">
      <c r="A82" s="34" t="n">
        <f aca="false">A81+1</f>
        <v>78</v>
      </c>
      <c r="B82" s="26" t="str">
        <f aca="false">Data!R82</f>
        <v>Clothing</v>
      </c>
      <c r="C82" s="26" t="str">
        <f aca="false">Data!S82</f>
        <v>David</v>
      </c>
      <c r="D82" s="26" t="n">
        <f aca="false">Data!U82</f>
        <v>0</v>
      </c>
      <c r="E82" s="35" t="n">
        <f aca="false">Data!V82</f>
        <v>43032</v>
      </c>
    </row>
    <row r="83" customFormat="false" ht="14.25" hidden="false" customHeight="false" outlineLevel="0" collapsed="false">
      <c r="A83" s="34" t="n">
        <f aca="false">A82+1</f>
        <v>79</v>
      </c>
      <c r="B83" s="26" t="str">
        <f aca="false">Data!R83</f>
        <v>Games</v>
      </c>
      <c r="C83" s="26" t="str">
        <f aca="false">Data!S83</f>
        <v>David</v>
      </c>
      <c r="D83" s="26" t="n">
        <f aca="false">Data!U83</f>
        <v>1409</v>
      </c>
      <c r="E83" s="35" t="n">
        <f aca="false">Data!V83</f>
        <v>43033</v>
      </c>
    </row>
    <row r="84" customFormat="false" ht="14.25" hidden="false" customHeight="false" outlineLevel="0" collapsed="false">
      <c r="A84" s="34" t="n">
        <f aca="false">A83+1</f>
        <v>80</v>
      </c>
      <c r="B84" s="26" t="str">
        <f aca="false">Data!R84</f>
        <v>Games</v>
      </c>
      <c r="C84" s="26" t="str">
        <f aca="false">Data!S84</f>
        <v>David</v>
      </c>
      <c r="D84" s="26" t="n">
        <f aca="false">Data!U84</f>
        <v>1628</v>
      </c>
      <c r="E84" s="35" t="n">
        <f aca="false">Data!V84</f>
        <v>43036</v>
      </c>
    </row>
    <row r="85" customFormat="false" ht="14.25" hidden="false" customHeight="false" outlineLevel="0" collapsed="false">
      <c r="A85" s="34" t="n">
        <f aca="false">A84+1</f>
        <v>81</v>
      </c>
      <c r="B85" s="26" t="str">
        <f aca="false">Data!R85</f>
        <v>Music</v>
      </c>
      <c r="C85" s="26" t="str">
        <f aca="false">Data!S85</f>
        <v>David</v>
      </c>
      <c r="D85" s="26" t="n">
        <f aca="false">Data!U85</f>
        <v>0</v>
      </c>
      <c r="E85" s="35" t="n">
        <f aca="false">Data!V85</f>
        <v>43038</v>
      </c>
    </row>
    <row r="86" customFormat="false" ht="14.25" hidden="false" customHeight="false" outlineLevel="0" collapsed="false">
      <c r="A86" s="34" t="n">
        <f aca="false">A85+1</f>
        <v>82</v>
      </c>
      <c r="B86" s="26" t="str">
        <f aca="false">Data!R86</f>
        <v>Games</v>
      </c>
      <c r="C86" s="26" t="str">
        <f aca="false">Data!S86</f>
        <v>Alice</v>
      </c>
      <c r="D86" s="26" t="n">
        <f aca="false">Data!U86</f>
        <v>1228</v>
      </c>
      <c r="E86" s="35" t="n">
        <f aca="false">Data!V86</f>
        <v>43038</v>
      </c>
    </row>
    <row r="87" customFormat="false" ht="14.25" hidden="false" customHeight="false" outlineLevel="0" collapsed="false">
      <c r="A87" s="34" t="n">
        <f aca="false">A86+1</f>
        <v>83</v>
      </c>
      <c r="B87" s="26" t="str">
        <f aca="false">Data!R87</f>
        <v>Music</v>
      </c>
      <c r="C87" s="26" t="str">
        <f aca="false">Data!S87</f>
        <v>Carol</v>
      </c>
      <c r="D87" s="26" t="n">
        <f aca="false">Data!U87</f>
        <v>1232</v>
      </c>
      <c r="E87" s="35" t="n">
        <f aca="false">Data!V87</f>
        <v>43026</v>
      </c>
    </row>
    <row r="88" customFormat="false" ht="14.25" hidden="false" customHeight="false" outlineLevel="0" collapsed="false">
      <c r="A88" s="34" t="n">
        <f aca="false">A87+1</f>
        <v>84</v>
      </c>
      <c r="B88" s="26" t="str">
        <f aca="false">Data!R88</f>
        <v>Clothing</v>
      </c>
      <c r="C88" s="26" t="str">
        <f aca="false">Data!S88</f>
        <v>Barney</v>
      </c>
      <c r="D88" s="26" t="n">
        <f aca="false">Data!U88</f>
        <v>754</v>
      </c>
      <c r="E88" s="35" t="n">
        <f aca="false">Data!V88</f>
        <v>43037</v>
      </c>
    </row>
    <row r="89" customFormat="false" ht="14.25" hidden="false" customHeight="false" outlineLevel="0" collapsed="false">
      <c r="A89" s="34" t="n">
        <f aca="false">A88+1</f>
        <v>85</v>
      </c>
      <c r="B89" s="26" t="str">
        <f aca="false">Data!R89</f>
        <v>Clothing</v>
      </c>
      <c r="C89" s="26" t="str">
        <f aca="false">Data!S89</f>
        <v>Carol</v>
      </c>
      <c r="D89" s="26" t="n">
        <f aca="false">Data!U89</f>
        <v>1234</v>
      </c>
      <c r="E89" s="35" t="n">
        <f aca="false">Data!V89</f>
        <v>43031</v>
      </c>
    </row>
    <row r="90" customFormat="false" ht="14.25" hidden="false" customHeight="false" outlineLevel="0" collapsed="false">
      <c r="A90" s="34" t="n">
        <f aca="false">A89+1</f>
        <v>86</v>
      </c>
      <c r="B90" s="26" t="str">
        <f aca="false">Data!R90</f>
        <v>Music</v>
      </c>
      <c r="C90" s="26" t="str">
        <f aca="false">Data!S90</f>
        <v>Barney</v>
      </c>
      <c r="D90" s="26" t="n">
        <f aca="false">Data!U90</f>
        <v>927</v>
      </c>
      <c r="E90" s="35" t="n">
        <f aca="false">Data!V90</f>
        <v>43010</v>
      </c>
    </row>
    <row r="91" customFormat="false" ht="14.25" hidden="false" customHeight="false" outlineLevel="0" collapsed="false">
      <c r="A91" s="34" t="n">
        <f aca="false">A90+1</f>
        <v>87</v>
      </c>
      <c r="B91" s="26" t="str">
        <f aca="false">Data!R91</f>
        <v>Clothing</v>
      </c>
      <c r="C91" s="26" t="str">
        <f aca="false">Data!S91</f>
        <v>Barney</v>
      </c>
      <c r="D91" s="26" t="n">
        <f aca="false">Data!U91</f>
        <v>1419</v>
      </c>
      <c r="E91" s="35" t="n">
        <f aca="false">Data!V91</f>
        <v>43015</v>
      </c>
    </row>
    <row r="92" customFormat="false" ht="14.25" hidden="false" customHeight="false" outlineLevel="0" collapsed="false">
      <c r="A92" s="34" t="n">
        <f aca="false">A91+1</f>
        <v>88</v>
      </c>
      <c r="B92" s="26" t="str">
        <f aca="false">Data!R92</f>
        <v>Games</v>
      </c>
      <c r="C92" s="26" t="str">
        <f aca="false">Data!S92</f>
        <v>Barney</v>
      </c>
      <c r="D92" s="26" t="n">
        <f aca="false">Data!U92</f>
        <v>2167</v>
      </c>
      <c r="E92" s="35" t="n">
        <f aca="false">Data!V92</f>
        <v>43030</v>
      </c>
    </row>
    <row r="93" customFormat="false" ht="14.25" hidden="false" customHeight="false" outlineLevel="0" collapsed="false">
      <c r="A93" s="34" t="n">
        <f aca="false">A92+1</f>
        <v>89</v>
      </c>
      <c r="B93" s="26" t="str">
        <f aca="false">Data!R93</f>
        <v>Games</v>
      </c>
      <c r="C93" s="26" t="str">
        <f aca="false">Data!S93</f>
        <v>Barney</v>
      </c>
      <c r="D93" s="26" t="n">
        <f aca="false">Data!U93</f>
        <v>1771</v>
      </c>
      <c r="E93" s="35" t="n">
        <f aca="false">Data!V93</f>
        <v>43022</v>
      </c>
    </row>
    <row r="94" customFormat="false" ht="14.25" hidden="false" customHeight="false" outlineLevel="0" collapsed="false">
      <c r="A94" s="34" t="n">
        <f aca="false">A93+1</f>
        <v>90</v>
      </c>
      <c r="B94" s="26" t="str">
        <f aca="false">Data!R94</f>
        <v>Games</v>
      </c>
      <c r="C94" s="26" t="str">
        <f aca="false">Data!S94</f>
        <v>Barney</v>
      </c>
      <c r="D94" s="26" t="n">
        <f aca="false">Data!U94</f>
        <v>0</v>
      </c>
      <c r="E94" s="35" t="n">
        <f aca="false">Data!V94</f>
        <v>43017</v>
      </c>
    </row>
    <row r="95" customFormat="false" ht="14.25" hidden="false" customHeight="false" outlineLevel="0" collapsed="false">
      <c r="A95" s="34" t="n">
        <f aca="false">A94+1</f>
        <v>91</v>
      </c>
      <c r="B95" s="26" t="str">
        <f aca="false">Data!R95</f>
        <v>Clothing</v>
      </c>
      <c r="C95" s="26" t="str">
        <f aca="false">Data!S95</f>
        <v>Alice</v>
      </c>
      <c r="D95" s="26" t="n">
        <f aca="false">Data!U95</f>
        <v>0</v>
      </c>
      <c r="E95" s="35" t="n">
        <f aca="false">Data!V95</f>
        <v>43009</v>
      </c>
    </row>
    <row r="96" customFormat="false" ht="14.25" hidden="false" customHeight="false" outlineLevel="0" collapsed="false">
      <c r="A96" s="34" t="n">
        <f aca="false">A95+1</f>
        <v>92</v>
      </c>
      <c r="B96" s="26" t="str">
        <f aca="false">Data!R96</f>
        <v>Books</v>
      </c>
      <c r="C96" s="26" t="str">
        <f aca="false">Data!S96</f>
        <v>Barney</v>
      </c>
      <c r="D96" s="26" t="n">
        <f aca="false">Data!U96</f>
        <v>0</v>
      </c>
      <c r="E96" s="35" t="n">
        <f aca="false">Data!V96</f>
        <v>43023</v>
      </c>
    </row>
    <row r="97" customFormat="false" ht="14.25" hidden="false" customHeight="false" outlineLevel="0" collapsed="false">
      <c r="A97" s="34" t="n">
        <f aca="false">A96+1</f>
        <v>93</v>
      </c>
      <c r="B97" s="26" t="str">
        <f aca="false">Data!R97</f>
        <v>Clothing</v>
      </c>
      <c r="C97" s="26" t="str">
        <f aca="false">Data!S97</f>
        <v>Carol</v>
      </c>
      <c r="D97" s="26" t="n">
        <f aca="false">Data!U97</f>
        <v>1973</v>
      </c>
      <c r="E97" s="35" t="n">
        <f aca="false">Data!V97</f>
        <v>43020</v>
      </c>
    </row>
    <row r="98" customFormat="false" ht="14.25" hidden="false" customHeight="false" outlineLevel="0" collapsed="false">
      <c r="A98" s="34" t="n">
        <f aca="false">A97+1</f>
        <v>94</v>
      </c>
      <c r="B98" s="26" t="str">
        <f aca="false">Data!R98</f>
        <v>Music</v>
      </c>
      <c r="C98" s="26" t="str">
        <f aca="false">Data!S98</f>
        <v>David</v>
      </c>
      <c r="D98" s="26" t="n">
        <f aca="false">Data!U98</f>
        <v>941</v>
      </c>
      <c r="E98" s="35" t="n">
        <f aca="false">Data!V98</f>
        <v>43036</v>
      </c>
    </row>
    <row r="99" customFormat="false" ht="14.25" hidden="false" customHeight="false" outlineLevel="0" collapsed="false">
      <c r="A99" s="34" t="n">
        <f aca="false">A98+1</f>
        <v>95</v>
      </c>
      <c r="B99" s="26" t="str">
        <f aca="false">Data!R99</f>
        <v>Books</v>
      </c>
      <c r="C99" s="26" t="str">
        <f aca="false">Data!S99</f>
        <v>Carol</v>
      </c>
      <c r="D99" s="26" t="n">
        <f aca="false">Data!U99</f>
        <v>671</v>
      </c>
      <c r="E99" s="35" t="n">
        <f aca="false">Data!V99</f>
        <v>43036</v>
      </c>
    </row>
    <row r="100" customFormat="false" ht="14.25" hidden="false" customHeight="false" outlineLevel="0" collapsed="false">
      <c r="A100" s="34" t="n">
        <f aca="false">A99+1</f>
        <v>96</v>
      </c>
      <c r="B100" s="26" t="str">
        <f aca="false">Data!R100</f>
        <v>Clothing</v>
      </c>
      <c r="C100" s="26" t="str">
        <f aca="false">Data!S100</f>
        <v>Barney</v>
      </c>
      <c r="D100" s="26" t="n">
        <f aca="false">Data!U100</f>
        <v>1743</v>
      </c>
      <c r="E100" s="35" t="n">
        <f aca="false">Data!V100</f>
        <v>43023</v>
      </c>
    </row>
    <row r="101" customFormat="false" ht="14.25" hidden="false" customHeight="false" outlineLevel="0" collapsed="false">
      <c r="A101" s="34" t="n">
        <f aca="false">A100+1</f>
        <v>97</v>
      </c>
      <c r="B101" s="26" t="str">
        <f aca="false">Data!R101</f>
        <v>Games</v>
      </c>
      <c r="C101" s="26" t="str">
        <f aca="false">Data!S101</f>
        <v>David</v>
      </c>
      <c r="D101" s="26" t="n">
        <f aca="false">Data!U101</f>
        <v>963</v>
      </c>
      <c r="E101" s="35" t="n">
        <f aca="false">Data!V101</f>
        <v>43025</v>
      </c>
    </row>
    <row r="102" customFormat="false" ht="14.25" hidden="false" customHeight="false" outlineLevel="0" collapsed="false">
      <c r="A102" s="34" t="n">
        <f aca="false">A101+1</f>
        <v>98</v>
      </c>
      <c r="B102" s="26" t="str">
        <f aca="false">Data!R102</f>
        <v>Games</v>
      </c>
      <c r="C102" s="26" t="str">
        <f aca="false">Data!S102</f>
        <v>Alice</v>
      </c>
      <c r="D102" s="26" t="n">
        <f aca="false">Data!U102</f>
        <v>0</v>
      </c>
      <c r="E102" s="35" t="n">
        <f aca="false">Data!V102</f>
        <v>43030</v>
      </c>
    </row>
    <row r="103" customFormat="false" ht="14.25" hidden="false" customHeight="false" outlineLevel="0" collapsed="false">
      <c r="A103" s="34" t="n">
        <f aca="false">A102+1</f>
        <v>99</v>
      </c>
      <c r="B103" s="26" t="str">
        <f aca="false">Data!R103</f>
        <v>Books</v>
      </c>
      <c r="C103" s="26" t="str">
        <f aca="false">Data!S103</f>
        <v>Barney</v>
      </c>
      <c r="D103" s="26" t="n">
        <f aca="false">Data!U103</f>
        <v>881</v>
      </c>
      <c r="E103" s="35" t="n">
        <f aca="false">Data!V103</f>
        <v>43031</v>
      </c>
    </row>
    <row r="104" customFormat="false" ht="14.25" hidden="false" customHeight="false" outlineLevel="0" collapsed="false">
      <c r="A104" s="34" t="n">
        <f aca="false">A103+1</f>
        <v>100</v>
      </c>
      <c r="B104" s="26" t="str">
        <f aca="false">Data!R104</f>
        <v>Games</v>
      </c>
      <c r="C104" s="26" t="str">
        <f aca="false">Data!S104</f>
        <v>Carol</v>
      </c>
      <c r="D104" s="26" t="n">
        <f aca="false">Data!U104</f>
        <v>2083</v>
      </c>
      <c r="E104" s="35" t="n">
        <f aca="false">Data!V104</f>
        <v>43033</v>
      </c>
    </row>
    <row r="105" customFormat="false" ht="14.25" hidden="false" customHeight="false" outlineLevel="0" collapsed="false">
      <c r="A105" s="34" t="n">
        <f aca="false">A104+1</f>
        <v>101</v>
      </c>
      <c r="B105" s="26" t="str">
        <f aca="false">Data!R105</f>
        <v>Clothing</v>
      </c>
      <c r="C105" s="26" t="str">
        <f aca="false">Data!S105</f>
        <v>Carol</v>
      </c>
      <c r="D105" s="26" t="n">
        <f aca="false">Data!U105</f>
        <v>772</v>
      </c>
      <c r="E105" s="35" t="n">
        <f aca="false">Data!V105</f>
        <v>43016</v>
      </c>
    </row>
    <row r="106" customFormat="false" ht="14.25" hidden="false" customHeight="false" outlineLevel="0" collapsed="false">
      <c r="A106" s="34" t="n">
        <f aca="false">A105+1</f>
        <v>102</v>
      </c>
      <c r="B106" s="26" t="str">
        <f aca="false">Data!R106</f>
        <v>Books</v>
      </c>
      <c r="C106" s="26" t="str">
        <f aca="false">Data!S106</f>
        <v>Barney</v>
      </c>
      <c r="D106" s="26" t="n">
        <f aca="false">Data!U106</f>
        <v>725</v>
      </c>
      <c r="E106" s="35" t="n">
        <f aca="false">Data!V106</f>
        <v>43018</v>
      </c>
    </row>
    <row r="107" customFormat="false" ht="14.25" hidden="false" customHeight="false" outlineLevel="0" collapsed="false">
      <c r="A107" s="34" t="n">
        <f aca="false">A106+1</f>
        <v>103</v>
      </c>
      <c r="B107" s="26" t="str">
        <f aca="false">Data!R107</f>
        <v>Music</v>
      </c>
      <c r="C107" s="26" t="str">
        <f aca="false">Data!S107</f>
        <v>Barney</v>
      </c>
      <c r="D107" s="26" t="n">
        <f aca="false">Data!U107</f>
        <v>0</v>
      </c>
      <c r="E107" s="35" t="n">
        <f aca="false">Data!V107</f>
        <v>43037</v>
      </c>
    </row>
    <row r="108" customFormat="false" ht="14.25" hidden="false" customHeight="false" outlineLevel="0" collapsed="false">
      <c r="A108" s="34" t="n">
        <f aca="false">A107+1</f>
        <v>104</v>
      </c>
      <c r="B108" s="26" t="str">
        <f aca="false">Data!R108</f>
        <v>Games</v>
      </c>
      <c r="C108" s="26" t="str">
        <f aca="false">Data!S108</f>
        <v>Barney</v>
      </c>
      <c r="D108" s="26" t="n">
        <f aca="false">Data!U108</f>
        <v>1117</v>
      </c>
      <c r="E108" s="35" t="n">
        <f aca="false">Data!V108</f>
        <v>43015</v>
      </c>
    </row>
    <row r="109" customFormat="false" ht="14.25" hidden="false" customHeight="false" outlineLevel="0" collapsed="false">
      <c r="A109" s="34" t="n">
        <f aca="false">A108+1</f>
        <v>105</v>
      </c>
      <c r="B109" s="26" t="str">
        <f aca="false">Data!R109</f>
        <v>Music</v>
      </c>
      <c r="C109" s="26" t="str">
        <f aca="false">Data!S109</f>
        <v>Barney</v>
      </c>
      <c r="D109" s="26" t="n">
        <f aca="false">Data!U109</f>
        <v>1492</v>
      </c>
      <c r="E109" s="35" t="n">
        <f aca="false">Data!V109</f>
        <v>43013</v>
      </c>
    </row>
    <row r="110" customFormat="false" ht="14.25" hidden="false" customHeight="false" outlineLevel="0" collapsed="false">
      <c r="A110" s="34" t="n">
        <f aca="false">A109+1</f>
        <v>106</v>
      </c>
      <c r="B110" s="26" t="str">
        <f aca="false">Data!R110</f>
        <v>Books</v>
      </c>
      <c r="C110" s="26" t="str">
        <f aca="false">Data!S110</f>
        <v>Carol</v>
      </c>
      <c r="D110" s="26" t="n">
        <f aca="false">Data!U110</f>
        <v>500</v>
      </c>
      <c r="E110" s="35" t="n">
        <f aca="false">Data!V110</f>
        <v>43020</v>
      </c>
    </row>
    <row r="111" customFormat="false" ht="14.25" hidden="false" customHeight="false" outlineLevel="0" collapsed="false">
      <c r="A111" s="34" t="n">
        <f aca="false">A110+1</f>
        <v>107</v>
      </c>
      <c r="B111" s="26" t="str">
        <f aca="false">Data!R111</f>
        <v>Books</v>
      </c>
      <c r="C111" s="26" t="str">
        <f aca="false">Data!S111</f>
        <v>David</v>
      </c>
      <c r="D111" s="26" t="n">
        <f aca="false">Data!U111</f>
        <v>528</v>
      </c>
      <c r="E111" s="35" t="n">
        <f aca="false">Data!V111</f>
        <v>43032</v>
      </c>
    </row>
    <row r="112" customFormat="false" ht="14.25" hidden="false" customHeight="false" outlineLevel="0" collapsed="false">
      <c r="A112" s="34" t="n">
        <f aca="false">A111+1</f>
        <v>108</v>
      </c>
      <c r="B112" s="26" t="str">
        <f aca="false">Data!R112</f>
        <v>Books</v>
      </c>
      <c r="C112" s="26" t="str">
        <f aca="false">Data!S112</f>
        <v>David</v>
      </c>
      <c r="D112" s="26" t="n">
        <f aca="false">Data!U112</f>
        <v>825</v>
      </c>
      <c r="E112" s="35" t="n">
        <f aca="false">Data!V112</f>
        <v>43028</v>
      </c>
    </row>
    <row r="113" customFormat="false" ht="14.25" hidden="false" customHeight="false" outlineLevel="0" collapsed="false">
      <c r="A113" s="34" t="n">
        <f aca="false">A112+1</f>
        <v>109</v>
      </c>
      <c r="B113" s="26" t="str">
        <f aca="false">Data!R113</f>
        <v>Games</v>
      </c>
      <c r="C113" s="26" t="str">
        <f aca="false">Data!S113</f>
        <v>Barney</v>
      </c>
      <c r="D113" s="26" t="n">
        <f aca="false">Data!U113</f>
        <v>1752</v>
      </c>
      <c r="E113" s="35" t="n">
        <f aca="false">Data!V113</f>
        <v>43034</v>
      </c>
    </row>
    <row r="114" customFormat="false" ht="14.25" hidden="false" customHeight="false" outlineLevel="0" collapsed="false">
      <c r="A114" s="34" t="n">
        <f aca="false">A113+1</f>
        <v>110</v>
      </c>
      <c r="B114" s="26" t="str">
        <f aca="false">Data!R114</f>
        <v>Games</v>
      </c>
      <c r="C114" s="26" t="str">
        <f aca="false">Data!S114</f>
        <v>Barney</v>
      </c>
      <c r="D114" s="26" t="n">
        <f aca="false">Data!U114</f>
        <v>1954</v>
      </c>
      <c r="E114" s="35" t="n">
        <f aca="false">Data!V114</f>
        <v>43018</v>
      </c>
    </row>
    <row r="115" customFormat="false" ht="14.25" hidden="false" customHeight="false" outlineLevel="0" collapsed="false">
      <c r="A115" s="34" t="n">
        <f aca="false">A114+1</f>
        <v>111</v>
      </c>
      <c r="B115" s="26" t="str">
        <f aca="false">Data!R115</f>
        <v>Music</v>
      </c>
      <c r="C115" s="26" t="str">
        <f aca="false">Data!S115</f>
        <v>David</v>
      </c>
      <c r="D115" s="26" t="n">
        <f aca="false">Data!U115</f>
        <v>1179</v>
      </c>
      <c r="E115" s="35" t="n">
        <f aca="false">Data!V115</f>
        <v>43033</v>
      </c>
    </row>
    <row r="116" customFormat="false" ht="14.25" hidden="false" customHeight="false" outlineLevel="0" collapsed="false">
      <c r="A116" s="34" t="n">
        <f aca="false">A115+1</f>
        <v>112</v>
      </c>
      <c r="B116" s="26" t="str">
        <f aca="false">Data!R116</f>
        <v>Clothing</v>
      </c>
      <c r="C116" s="26" t="str">
        <f aca="false">Data!S116</f>
        <v>Barney</v>
      </c>
      <c r="D116" s="26" t="n">
        <f aca="false">Data!U116</f>
        <v>883</v>
      </c>
      <c r="E116" s="35" t="n">
        <f aca="false">Data!V116</f>
        <v>43014</v>
      </c>
    </row>
    <row r="117" customFormat="false" ht="14.25" hidden="false" customHeight="false" outlineLevel="0" collapsed="false">
      <c r="A117" s="34" t="n">
        <f aca="false">A116+1</f>
        <v>113</v>
      </c>
      <c r="B117" s="26" t="str">
        <f aca="false">Data!R117</f>
        <v>Games</v>
      </c>
      <c r="C117" s="26" t="str">
        <f aca="false">Data!S117</f>
        <v>Alice</v>
      </c>
      <c r="D117" s="26" t="n">
        <f aca="false">Data!U117</f>
        <v>2259</v>
      </c>
      <c r="E117" s="35" t="n">
        <f aca="false">Data!V117</f>
        <v>43018</v>
      </c>
    </row>
    <row r="118" customFormat="false" ht="14.25" hidden="false" customHeight="false" outlineLevel="0" collapsed="false">
      <c r="A118" s="34" t="n">
        <f aca="false">A117+1</f>
        <v>114</v>
      </c>
      <c r="B118" s="26" t="str">
        <f aca="false">Data!R118</f>
        <v>Music</v>
      </c>
      <c r="C118" s="26" t="str">
        <f aca="false">Data!S118</f>
        <v>David</v>
      </c>
      <c r="D118" s="26" t="n">
        <f aca="false">Data!U118</f>
        <v>965</v>
      </c>
      <c r="E118" s="35" t="n">
        <f aca="false">Data!V118</f>
        <v>43032</v>
      </c>
    </row>
    <row r="119" customFormat="false" ht="14.25" hidden="false" customHeight="false" outlineLevel="0" collapsed="false">
      <c r="A119" s="34" t="n">
        <f aca="false">A118+1</f>
        <v>115</v>
      </c>
      <c r="B119" s="26" t="str">
        <f aca="false">Data!R119</f>
        <v>Books</v>
      </c>
      <c r="C119" s="26" t="str">
        <f aca="false">Data!S119</f>
        <v>Alice</v>
      </c>
      <c r="D119" s="26" t="n">
        <f aca="false">Data!U119</f>
        <v>0</v>
      </c>
      <c r="E119" s="35" t="n">
        <f aca="false">Data!V119</f>
        <v>43011</v>
      </c>
    </row>
    <row r="120" customFormat="false" ht="14.25" hidden="false" customHeight="false" outlineLevel="0" collapsed="false">
      <c r="A120" s="34" t="n">
        <f aca="false">A119+1</f>
        <v>116</v>
      </c>
      <c r="B120" s="26" t="str">
        <f aca="false">Data!R120</f>
        <v>Books</v>
      </c>
      <c r="C120" s="26" t="str">
        <f aca="false">Data!S120</f>
        <v>Carol</v>
      </c>
      <c r="D120" s="26" t="n">
        <f aca="false">Data!U120</f>
        <v>697</v>
      </c>
      <c r="E120" s="35" t="n">
        <f aca="false">Data!V120</f>
        <v>43037</v>
      </c>
    </row>
    <row r="121" customFormat="false" ht="14.25" hidden="false" customHeight="false" outlineLevel="0" collapsed="false">
      <c r="A121" s="34" t="n">
        <f aca="false">A120+1</f>
        <v>117</v>
      </c>
      <c r="B121" s="26" t="str">
        <f aca="false">Data!R121</f>
        <v>Clothing</v>
      </c>
      <c r="C121" s="26" t="str">
        <f aca="false">Data!S121</f>
        <v>Carol</v>
      </c>
      <c r="D121" s="26" t="n">
        <f aca="false">Data!U121</f>
        <v>1227</v>
      </c>
      <c r="E121" s="35" t="n">
        <f aca="false">Data!V121</f>
        <v>43037</v>
      </c>
    </row>
    <row r="122" customFormat="false" ht="14.25" hidden="false" customHeight="false" outlineLevel="0" collapsed="false">
      <c r="A122" s="34" t="n">
        <f aca="false">A121+1</f>
        <v>118</v>
      </c>
      <c r="B122" s="26" t="str">
        <f aca="false">Data!R122</f>
        <v>Music</v>
      </c>
      <c r="C122" s="26" t="str">
        <f aca="false">Data!S122</f>
        <v>Carol</v>
      </c>
      <c r="D122" s="26" t="n">
        <f aca="false">Data!U122</f>
        <v>1061</v>
      </c>
      <c r="E122" s="35" t="n">
        <f aca="false">Data!V122</f>
        <v>43011</v>
      </c>
    </row>
    <row r="123" customFormat="false" ht="14.25" hidden="false" customHeight="false" outlineLevel="0" collapsed="false">
      <c r="A123" s="34" t="n">
        <f aca="false">A122+1</f>
        <v>119</v>
      </c>
      <c r="B123" s="26" t="str">
        <f aca="false">Data!R123</f>
        <v>Music</v>
      </c>
      <c r="C123" s="26" t="str">
        <f aca="false">Data!S123</f>
        <v>Barney</v>
      </c>
      <c r="D123" s="26" t="n">
        <f aca="false">Data!U123</f>
        <v>925</v>
      </c>
      <c r="E123" s="35" t="n">
        <f aca="false">Data!V123</f>
        <v>43036</v>
      </c>
    </row>
    <row r="124" customFormat="false" ht="14.25" hidden="false" customHeight="false" outlineLevel="0" collapsed="false">
      <c r="A124" s="34" t="n">
        <f aca="false">A123+1</f>
        <v>120</v>
      </c>
      <c r="B124" s="26" t="str">
        <f aca="false">Data!R124</f>
        <v>Games</v>
      </c>
      <c r="C124" s="26" t="str">
        <f aca="false">Data!S124</f>
        <v>David</v>
      </c>
      <c r="D124" s="26" t="n">
        <f aca="false">Data!U124</f>
        <v>2271</v>
      </c>
      <c r="E124" s="35" t="n">
        <f aca="false">Data!V124</f>
        <v>43016</v>
      </c>
    </row>
    <row r="125" customFormat="false" ht="14.25" hidden="false" customHeight="false" outlineLevel="0" collapsed="false">
      <c r="A125" s="34" t="n">
        <f aca="false">A124+1</f>
        <v>121</v>
      </c>
      <c r="B125" s="26" t="str">
        <f aca="false">Data!R125</f>
        <v>Music</v>
      </c>
      <c r="C125" s="26" t="str">
        <f aca="false">Data!S125</f>
        <v>Barney</v>
      </c>
      <c r="D125" s="26" t="n">
        <f aca="false">Data!U125</f>
        <v>1170</v>
      </c>
      <c r="E125" s="35" t="n">
        <f aca="false">Data!V125</f>
        <v>43011</v>
      </c>
    </row>
    <row r="126" customFormat="false" ht="14.25" hidden="false" customHeight="false" outlineLevel="0" collapsed="false">
      <c r="A126" s="34" t="n">
        <f aca="false">A125+1</f>
        <v>122</v>
      </c>
      <c r="B126" s="26" t="str">
        <f aca="false">Data!R126</f>
        <v>Clothing</v>
      </c>
      <c r="C126" s="26" t="str">
        <f aca="false">Data!S126</f>
        <v>David</v>
      </c>
      <c r="D126" s="26" t="n">
        <f aca="false">Data!U126</f>
        <v>1154</v>
      </c>
      <c r="E126" s="35" t="n">
        <f aca="false">Data!V126</f>
        <v>43035</v>
      </c>
    </row>
    <row r="127" customFormat="false" ht="14.25" hidden="false" customHeight="false" outlineLevel="0" collapsed="false">
      <c r="A127" s="34" t="n">
        <f aca="false">A126+1</f>
        <v>123</v>
      </c>
      <c r="B127" s="26" t="str">
        <f aca="false">Data!R127</f>
        <v>Books</v>
      </c>
      <c r="C127" s="26" t="str">
        <f aca="false">Data!S127</f>
        <v>David</v>
      </c>
      <c r="D127" s="26" t="n">
        <f aca="false">Data!U127</f>
        <v>598</v>
      </c>
      <c r="E127" s="35" t="n">
        <f aca="false">Data!V127</f>
        <v>43024</v>
      </c>
    </row>
    <row r="128" customFormat="false" ht="14.25" hidden="false" customHeight="false" outlineLevel="0" collapsed="false">
      <c r="A128" s="34" t="n">
        <f aca="false">A127+1</f>
        <v>124</v>
      </c>
      <c r="B128" s="26" t="str">
        <f aca="false">Data!R128</f>
        <v>Games</v>
      </c>
      <c r="C128" s="26" t="str">
        <f aca="false">Data!S128</f>
        <v>Alice</v>
      </c>
      <c r="D128" s="26" t="n">
        <f aca="false">Data!U128</f>
        <v>1101</v>
      </c>
      <c r="E128" s="35" t="n">
        <f aca="false">Data!V128</f>
        <v>43024</v>
      </c>
    </row>
    <row r="129" customFormat="false" ht="14.25" hidden="false" customHeight="false" outlineLevel="0" collapsed="false">
      <c r="A129" s="34" t="n">
        <f aca="false">A128+1</f>
        <v>125</v>
      </c>
      <c r="B129" s="26" t="str">
        <f aca="false">Data!R129</f>
        <v>Books</v>
      </c>
      <c r="C129" s="26" t="str">
        <f aca="false">Data!S129</f>
        <v>Barney</v>
      </c>
      <c r="D129" s="26" t="n">
        <f aca="false">Data!U129</f>
        <v>905</v>
      </c>
      <c r="E129" s="35" t="n">
        <f aca="false">Data!V129</f>
        <v>43036</v>
      </c>
    </row>
    <row r="130" customFormat="false" ht="14.25" hidden="false" customHeight="false" outlineLevel="0" collapsed="false">
      <c r="A130" s="34" t="n">
        <f aca="false">A129+1</f>
        <v>126</v>
      </c>
      <c r="B130" s="26" t="str">
        <f aca="false">Data!R130</f>
        <v>Books</v>
      </c>
      <c r="C130" s="26" t="str">
        <f aca="false">Data!S130</f>
        <v>Barney</v>
      </c>
      <c r="D130" s="26" t="n">
        <f aca="false">Data!U130</f>
        <v>818</v>
      </c>
      <c r="E130" s="35" t="n">
        <f aca="false">Data!V130</f>
        <v>43012</v>
      </c>
    </row>
    <row r="131" customFormat="false" ht="14.25" hidden="false" customHeight="false" outlineLevel="0" collapsed="false">
      <c r="A131" s="34" t="n">
        <f aca="false">A130+1</f>
        <v>127</v>
      </c>
      <c r="B131" s="26" t="str">
        <f aca="false">Data!R131</f>
        <v>Games</v>
      </c>
      <c r="C131" s="26" t="str">
        <f aca="false">Data!S131</f>
        <v>David</v>
      </c>
      <c r="D131" s="26" t="n">
        <f aca="false">Data!U131</f>
        <v>0</v>
      </c>
      <c r="E131" s="35" t="n">
        <f aca="false">Data!V131</f>
        <v>43012</v>
      </c>
    </row>
    <row r="132" customFormat="false" ht="14.25" hidden="false" customHeight="false" outlineLevel="0" collapsed="false">
      <c r="A132" s="34" t="n">
        <f aca="false">A131+1</f>
        <v>128</v>
      </c>
      <c r="B132" s="26" t="str">
        <f aca="false">Data!R132</f>
        <v>Books</v>
      </c>
      <c r="C132" s="26" t="str">
        <f aca="false">Data!S132</f>
        <v>Alice</v>
      </c>
      <c r="D132" s="26" t="n">
        <f aca="false">Data!U132</f>
        <v>820</v>
      </c>
      <c r="E132" s="35" t="n">
        <f aca="false">Data!V132</f>
        <v>43025</v>
      </c>
    </row>
    <row r="133" customFormat="false" ht="14.25" hidden="false" customHeight="false" outlineLevel="0" collapsed="false">
      <c r="A133" s="34" t="n">
        <f aca="false">A132+1</f>
        <v>129</v>
      </c>
      <c r="B133" s="26" t="str">
        <f aca="false">Data!R133</f>
        <v>Games</v>
      </c>
      <c r="C133" s="26" t="str">
        <f aca="false">Data!S133</f>
        <v>Carol</v>
      </c>
      <c r="D133" s="26" t="n">
        <f aca="false">Data!U133</f>
        <v>2228</v>
      </c>
      <c r="E133" s="35" t="n">
        <f aca="false">Data!V133</f>
        <v>43011</v>
      </c>
    </row>
    <row r="134" customFormat="false" ht="14.25" hidden="false" customHeight="false" outlineLevel="0" collapsed="false">
      <c r="A134" s="34" t="n">
        <f aca="false">A133+1</f>
        <v>130</v>
      </c>
      <c r="B134" s="26" t="str">
        <f aca="false">Data!R134</f>
        <v>Games</v>
      </c>
      <c r="C134" s="26" t="str">
        <f aca="false">Data!S134</f>
        <v>David</v>
      </c>
      <c r="D134" s="26" t="n">
        <f aca="false">Data!U134</f>
        <v>0</v>
      </c>
      <c r="E134" s="35" t="n">
        <f aca="false">Data!V134</f>
        <v>43020</v>
      </c>
    </row>
    <row r="135" customFormat="false" ht="14.25" hidden="false" customHeight="false" outlineLevel="0" collapsed="false">
      <c r="A135" s="34" t="n">
        <f aca="false">A134+1</f>
        <v>131</v>
      </c>
      <c r="B135" s="26" t="str">
        <f aca="false">Data!R135</f>
        <v>Books</v>
      </c>
      <c r="C135" s="26" t="str">
        <f aca="false">Data!S135</f>
        <v>Carol</v>
      </c>
      <c r="D135" s="26" t="n">
        <f aca="false">Data!U135</f>
        <v>970</v>
      </c>
      <c r="E135" s="35" t="n">
        <f aca="false">Data!V135</f>
        <v>43017</v>
      </c>
    </row>
    <row r="136" customFormat="false" ht="14.25" hidden="false" customHeight="false" outlineLevel="0" collapsed="false">
      <c r="A136" s="34" t="n">
        <f aca="false">A135+1</f>
        <v>132</v>
      </c>
      <c r="B136" s="26" t="str">
        <f aca="false">Data!R136</f>
        <v>Games</v>
      </c>
      <c r="C136" s="26" t="str">
        <f aca="false">Data!S136</f>
        <v>David</v>
      </c>
      <c r="D136" s="26" t="n">
        <f aca="false">Data!U136</f>
        <v>944</v>
      </c>
      <c r="E136" s="35" t="n">
        <f aca="false">Data!V136</f>
        <v>43011</v>
      </c>
    </row>
    <row r="137" customFormat="false" ht="14.25" hidden="false" customHeight="false" outlineLevel="0" collapsed="false">
      <c r="A137" s="34" t="n">
        <f aca="false">A136+1</f>
        <v>133</v>
      </c>
      <c r="B137" s="26" t="str">
        <f aca="false">Data!R137</f>
        <v>Music</v>
      </c>
      <c r="C137" s="26" t="str">
        <f aca="false">Data!S137</f>
        <v>Barney</v>
      </c>
      <c r="D137" s="26" t="n">
        <f aca="false">Data!U137</f>
        <v>1404</v>
      </c>
      <c r="E137" s="35" t="n">
        <f aca="false">Data!V137</f>
        <v>43034</v>
      </c>
    </row>
    <row r="138" customFormat="false" ht="14.25" hidden="false" customHeight="false" outlineLevel="0" collapsed="false">
      <c r="A138" s="34" t="n">
        <f aca="false">A137+1</f>
        <v>134</v>
      </c>
      <c r="B138" s="26" t="str">
        <f aca="false">Data!R138</f>
        <v>Clothing</v>
      </c>
      <c r="C138" s="26" t="str">
        <f aca="false">Data!S138</f>
        <v>Alice</v>
      </c>
      <c r="D138" s="26" t="n">
        <f aca="false">Data!U138</f>
        <v>1305</v>
      </c>
      <c r="E138" s="35" t="n">
        <f aca="false">Data!V138</f>
        <v>43038</v>
      </c>
    </row>
    <row r="139" customFormat="false" ht="14.25" hidden="false" customHeight="false" outlineLevel="0" collapsed="false">
      <c r="A139" s="34" t="n">
        <f aca="false">A138+1</f>
        <v>135</v>
      </c>
      <c r="B139" s="26" t="str">
        <f aca="false">Data!R139</f>
        <v>Games</v>
      </c>
      <c r="C139" s="26" t="str">
        <f aca="false">Data!S139</f>
        <v>David</v>
      </c>
      <c r="D139" s="26" t="n">
        <f aca="false">Data!U139</f>
        <v>869</v>
      </c>
      <c r="E139" s="35" t="n">
        <f aca="false">Data!V139</f>
        <v>43028</v>
      </c>
    </row>
    <row r="140" customFormat="false" ht="14.25" hidden="false" customHeight="false" outlineLevel="0" collapsed="false">
      <c r="A140" s="34" t="n">
        <f aca="false">A139+1</f>
        <v>136</v>
      </c>
      <c r="B140" s="26" t="str">
        <f aca="false">Data!R140</f>
        <v>Clothing</v>
      </c>
      <c r="C140" s="26" t="str">
        <f aca="false">Data!S140</f>
        <v>Carol</v>
      </c>
      <c r="D140" s="26" t="n">
        <f aca="false">Data!U140</f>
        <v>0</v>
      </c>
      <c r="E140" s="35" t="n">
        <f aca="false">Data!V140</f>
        <v>43010</v>
      </c>
    </row>
    <row r="141" customFormat="false" ht="14.25" hidden="false" customHeight="false" outlineLevel="0" collapsed="false">
      <c r="A141" s="34" t="n">
        <f aca="false">A140+1</f>
        <v>137</v>
      </c>
      <c r="B141" s="26" t="str">
        <f aca="false">Data!R141</f>
        <v>Games</v>
      </c>
      <c r="C141" s="26" t="str">
        <f aca="false">Data!S141</f>
        <v>Barney</v>
      </c>
      <c r="D141" s="26" t="n">
        <f aca="false">Data!U141</f>
        <v>0</v>
      </c>
      <c r="E141" s="35" t="n">
        <f aca="false">Data!V141</f>
        <v>43033</v>
      </c>
    </row>
    <row r="142" customFormat="false" ht="14.25" hidden="false" customHeight="false" outlineLevel="0" collapsed="false">
      <c r="A142" s="34" t="n">
        <f aca="false">A141+1</f>
        <v>138</v>
      </c>
      <c r="B142" s="26" t="str">
        <f aca="false">Data!R142</f>
        <v>Books</v>
      </c>
      <c r="C142" s="26" t="str">
        <f aca="false">Data!S142</f>
        <v>Carol</v>
      </c>
      <c r="D142" s="26" t="n">
        <f aca="false">Data!U142</f>
        <v>0</v>
      </c>
      <c r="E142" s="35" t="n">
        <f aca="false">Data!V142</f>
        <v>43022</v>
      </c>
    </row>
    <row r="143" customFormat="false" ht="14.25" hidden="false" customHeight="false" outlineLevel="0" collapsed="false">
      <c r="A143" s="34" t="n">
        <f aca="false">A142+1</f>
        <v>139</v>
      </c>
      <c r="B143" s="26" t="str">
        <f aca="false">Data!R143</f>
        <v>Music</v>
      </c>
      <c r="C143" s="26" t="str">
        <f aca="false">Data!S143</f>
        <v>Alice</v>
      </c>
      <c r="D143" s="26" t="n">
        <f aca="false">Data!U143</f>
        <v>1461</v>
      </c>
      <c r="E143" s="35" t="n">
        <f aca="false">Data!V143</f>
        <v>43012</v>
      </c>
    </row>
    <row r="144" customFormat="false" ht="14.25" hidden="false" customHeight="false" outlineLevel="0" collapsed="false">
      <c r="A144" s="34" t="n">
        <f aca="false">A143+1</f>
        <v>140</v>
      </c>
      <c r="B144" s="26" t="str">
        <f aca="false">Data!R144</f>
        <v>Books</v>
      </c>
      <c r="C144" s="26" t="str">
        <f aca="false">Data!S144</f>
        <v>Barney</v>
      </c>
      <c r="D144" s="26" t="n">
        <f aca="false">Data!U144</f>
        <v>999</v>
      </c>
      <c r="E144" s="35" t="n">
        <f aca="false">Data!V144</f>
        <v>43019</v>
      </c>
    </row>
    <row r="145" customFormat="false" ht="14.25" hidden="false" customHeight="false" outlineLevel="0" collapsed="false">
      <c r="A145" s="34" t="n">
        <f aca="false">A144+1</f>
        <v>141</v>
      </c>
      <c r="B145" s="26" t="str">
        <f aca="false">Data!R145</f>
        <v>Books</v>
      </c>
      <c r="C145" s="26" t="str">
        <f aca="false">Data!S145</f>
        <v>Barney</v>
      </c>
      <c r="D145" s="26" t="n">
        <f aca="false">Data!U145</f>
        <v>510</v>
      </c>
      <c r="E145" s="35" t="n">
        <f aca="false">Data!V145</f>
        <v>43030</v>
      </c>
    </row>
    <row r="146" customFormat="false" ht="14.25" hidden="false" customHeight="false" outlineLevel="0" collapsed="false">
      <c r="A146" s="34" t="n">
        <f aca="false">A145+1</f>
        <v>142</v>
      </c>
      <c r="B146" s="26" t="str">
        <f aca="false">Data!R146</f>
        <v>Music</v>
      </c>
      <c r="C146" s="26" t="str">
        <f aca="false">Data!S146</f>
        <v>Alice</v>
      </c>
      <c r="D146" s="26" t="n">
        <f aca="false">Data!U146</f>
        <v>1103</v>
      </c>
      <c r="E146" s="35" t="n">
        <f aca="false">Data!V146</f>
        <v>43021</v>
      </c>
    </row>
    <row r="147" customFormat="false" ht="14.25" hidden="false" customHeight="false" outlineLevel="0" collapsed="false">
      <c r="A147" s="34" t="n">
        <f aca="false">A146+1</f>
        <v>143</v>
      </c>
      <c r="B147" s="26" t="str">
        <f aca="false">Data!R147</f>
        <v>Music</v>
      </c>
      <c r="C147" s="26" t="str">
        <f aca="false">Data!S147</f>
        <v>Carol</v>
      </c>
      <c r="D147" s="26" t="n">
        <f aca="false">Data!U147</f>
        <v>1412</v>
      </c>
      <c r="E147" s="35" t="n">
        <f aca="false">Data!V147</f>
        <v>43024</v>
      </c>
    </row>
    <row r="148" customFormat="false" ht="14.25" hidden="false" customHeight="false" outlineLevel="0" collapsed="false">
      <c r="A148" s="34" t="n">
        <f aca="false">A147+1</f>
        <v>144</v>
      </c>
      <c r="B148" s="26" t="str">
        <f aca="false">Data!R148</f>
        <v>Books</v>
      </c>
      <c r="C148" s="26" t="str">
        <f aca="false">Data!S148</f>
        <v>Barney</v>
      </c>
      <c r="D148" s="26" t="n">
        <f aca="false">Data!U148</f>
        <v>0</v>
      </c>
      <c r="E148" s="35" t="n">
        <f aca="false">Data!V148</f>
        <v>43024</v>
      </c>
    </row>
    <row r="149" customFormat="false" ht="14.25" hidden="false" customHeight="false" outlineLevel="0" collapsed="false">
      <c r="A149" s="34" t="n">
        <f aca="false">A148+1</f>
        <v>145</v>
      </c>
      <c r="B149" s="26" t="str">
        <f aca="false">Data!R149</f>
        <v>Books</v>
      </c>
      <c r="C149" s="26" t="str">
        <f aca="false">Data!S149</f>
        <v>Alice</v>
      </c>
      <c r="D149" s="26" t="n">
        <f aca="false">Data!U149</f>
        <v>763</v>
      </c>
      <c r="E149" s="35" t="n">
        <f aca="false">Data!V149</f>
        <v>43016</v>
      </c>
    </row>
    <row r="150" customFormat="false" ht="14.25" hidden="false" customHeight="false" outlineLevel="0" collapsed="false">
      <c r="A150" s="34" t="n">
        <f aca="false">A149+1</f>
        <v>146</v>
      </c>
      <c r="B150" s="26" t="str">
        <f aca="false">Data!R150</f>
        <v>Clothing</v>
      </c>
      <c r="C150" s="26" t="str">
        <f aca="false">Data!S150</f>
        <v>Barney</v>
      </c>
      <c r="D150" s="26" t="n">
        <f aca="false">Data!U150</f>
        <v>1419</v>
      </c>
      <c r="E150" s="35" t="n">
        <f aca="false">Data!V150</f>
        <v>43019</v>
      </c>
    </row>
    <row r="151" customFormat="false" ht="14.25" hidden="false" customHeight="false" outlineLevel="0" collapsed="false">
      <c r="A151" s="34" t="n">
        <f aca="false">A150+1</f>
        <v>147</v>
      </c>
      <c r="B151" s="26" t="str">
        <f aca="false">Data!R151</f>
        <v>Books</v>
      </c>
      <c r="C151" s="26" t="str">
        <f aca="false">Data!S151</f>
        <v>Alice</v>
      </c>
      <c r="D151" s="26" t="n">
        <f aca="false">Data!U151</f>
        <v>906</v>
      </c>
      <c r="E151" s="35" t="n">
        <f aca="false">Data!V151</f>
        <v>43039</v>
      </c>
    </row>
    <row r="152" customFormat="false" ht="14.25" hidden="false" customHeight="false" outlineLevel="0" collapsed="false">
      <c r="A152" s="34" t="n">
        <f aca="false">A151+1</f>
        <v>148</v>
      </c>
      <c r="B152" s="26" t="str">
        <f aca="false">Data!R152</f>
        <v>Books</v>
      </c>
      <c r="C152" s="26" t="str">
        <f aca="false">Data!S152</f>
        <v>Carol</v>
      </c>
      <c r="D152" s="26" t="n">
        <f aca="false">Data!U152</f>
        <v>725</v>
      </c>
      <c r="E152" s="35" t="n">
        <f aca="false">Data!V152</f>
        <v>43018</v>
      </c>
    </row>
    <row r="153" customFormat="false" ht="14.25" hidden="false" customHeight="false" outlineLevel="0" collapsed="false">
      <c r="A153" s="34" t="n">
        <f aca="false">A152+1</f>
        <v>149</v>
      </c>
      <c r="B153" s="26" t="str">
        <f aca="false">Data!R153</f>
        <v>Clothing</v>
      </c>
      <c r="C153" s="26" t="str">
        <f aca="false">Data!S153</f>
        <v>Carol</v>
      </c>
      <c r="D153" s="26" t="n">
        <f aca="false">Data!U153</f>
        <v>1304</v>
      </c>
      <c r="E153" s="35" t="n">
        <f aca="false">Data!V153</f>
        <v>43023</v>
      </c>
    </row>
    <row r="154" customFormat="false" ht="14.25" hidden="false" customHeight="false" outlineLevel="0" collapsed="false">
      <c r="A154" s="34" t="n">
        <f aca="false">A153+1</f>
        <v>150</v>
      </c>
      <c r="B154" s="26" t="str">
        <f aca="false">Data!R154</f>
        <v>Games</v>
      </c>
      <c r="C154" s="26" t="str">
        <f aca="false">Data!S154</f>
        <v>Carol</v>
      </c>
      <c r="D154" s="26" t="n">
        <f aca="false">Data!U154</f>
        <v>1050</v>
      </c>
      <c r="E154" s="35" t="n">
        <f aca="false">Data!V154</f>
        <v>43034</v>
      </c>
    </row>
    <row r="155" customFormat="false" ht="14.25" hidden="false" customHeight="false" outlineLevel="0" collapsed="false">
      <c r="A155" s="34" t="n">
        <f aca="false">A154+1</f>
        <v>151</v>
      </c>
      <c r="B155" s="26" t="str">
        <f aca="false">Data!R155</f>
        <v>Books</v>
      </c>
      <c r="C155" s="26" t="str">
        <f aca="false">Data!S155</f>
        <v>David</v>
      </c>
      <c r="D155" s="26" t="n">
        <f aca="false">Data!U155</f>
        <v>765</v>
      </c>
      <c r="E155" s="35" t="n">
        <f aca="false">Data!V155</f>
        <v>43011</v>
      </c>
    </row>
    <row r="156" customFormat="false" ht="14.25" hidden="false" customHeight="false" outlineLevel="0" collapsed="false">
      <c r="A156" s="34" t="n">
        <f aca="false">A155+1</f>
        <v>152</v>
      </c>
      <c r="B156" s="26" t="str">
        <f aca="false">Data!R156</f>
        <v>Music</v>
      </c>
      <c r="C156" s="26" t="str">
        <f aca="false">Data!S156</f>
        <v>Barney</v>
      </c>
      <c r="D156" s="26" t="n">
        <f aca="false">Data!U156</f>
        <v>1272</v>
      </c>
      <c r="E156" s="35" t="n">
        <f aca="false">Data!V156</f>
        <v>43009</v>
      </c>
    </row>
    <row r="157" customFormat="false" ht="14.25" hidden="false" customHeight="false" outlineLevel="0" collapsed="false">
      <c r="A157" s="34" t="n">
        <f aca="false">A156+1</f>
        <v>153</v>
      </c>
      <c r="B157" s="26" t="str">
        <f aca="false">Data!R157</f>
        <v>Music</v>
      </c>
      <c r="C157" s="26" t="str">
        <f aca="false">Data!S157</f>
        <v>David</v>
      </c>
      <c r="D157" s="26" t="n">
        <f aca="false">Data!U157</f>
        <v>1424</v>
      </c>
      <c r="E157" s="35" t="n">
        <f aca="false">Data!V157</f>
        <v>43015</v>
      </c>
    </row>
    <row r="158" customFormat="false" ht="14.25" hidden="false" customHeight="false" outlineLevel="0" collapsed="false">
      <c r="A158" s="34" t="n">
        <f aca="false">A157+1</f>
        <v>154</v>
      </c>
      <c r="B158" s="26" t="str">
        <f aca="false">Data!R158</f>
        <v>Music</v>
      </c>
      <c r="C158" s="26" t="str">
        <f aca="false">Data!S158</f>
        <v>Alice</v>
      </c>
      <c r="D158" s="26" t="n">
        <f aca="false">Data!U158</f>
        <v>1047</v>
      </c>
      <c r="E158" s="35" t="n">
        <f aca="false">Data!V158</f>
        <v>43013</v>
      </c>
    </row>
    <row r="159" customFormat="false" ht="14.25" hidden="false" customHeight="false" outlineLevel="0" collapsed="false">
      <c r="A159" s="34" t="n">
        <f aca="false">A158+1</f>
        <v>155</v>
      </c>
      <c r="B159" s="26" t="str">
        <f aca="false">Data!R159</f>
        <v>Games</v>
      </c>
      <c r="C159" s="26" t="str">
        <f aca="false">Data!S159</f>
        <v>Carol</v>
      </c>
      <c r="D159" s="26" t="n">
        <f aca="false">Data!U159</f>
        <v>1451</v>
      </c>
      <c r="E159" s="35" t="n">
        <f aca="false">Data!V159</f>
        <v>43009</v>
      </c>
    </row>
    <row r="160" customFormat="false" ht="14.25" hidden="false" customHeight="false" outlineLevel="0" collapsed="false">
      <c r="A160" s="34" t="n">
        <f aca="false">A159+1</f>
        <v>156</v>
      </c>
      <c r="B160" s="26" t="str">
        <f aca="false">Data!R160</f>
        <v>Clothing</v>
      </c>
      <c r="C160" s="26" t="str">
        <f aca="false">Data!S160</f>
        <v>Barney</v>
      </c>
      <c r="D160" s="26" t="n">
        <f aca="false">Data!U160</f>
        <v>667</v>
      </c>
      <c r="E160" s="35" t="n">
        <f aca="false">Data!V160</f>
        <v>43018</v>
      </c>
    </row>
    <row r="161" customFormat="false" ht="14.25" hidden="false" customHeight="false" outlineLevel="0" collapsed="false">
      <c r="A161" s="34" t="n">
        <f aca="false">A160+1</f>
        <v>157</v>
      </c>
      <c r="B161" s="26" t="str">
        <f aca="false">Data!R161</f>
        <v>Books</v>
      </c>
      <c r="C161" s="26" t="str">
        <f aca="false">Data!S161</f>
        <v>Carol</v>
      </c>
      <c r="D161" s="26" t="n">
        <f aca="false">Data!U161</f>
        <v>670</v>
      </c>
      <c r="E161" s="35" t="n">
        <f aca="false">Data!V161</f>
        <v>43009</v>
      </c>
    </row>
    <row r="162" customFormat="false" ht="14.25" hidden="false" customHeight="false" outlineLevel="0" collapsed="false">
      <c r="A162" s="34" t="n">
        <f aca="false">A161+1</f>
        <v>158</v>
      </c>
      <c r="B162" s="26" t="str">
        <f aca="false">Data!R162</f>
        <v>Books</v>
      </c>
      <c r="C162" s="26" t="str">
        <f aca="false">Data!S162</f>
        <v>David</v>
      </c>
      <c r="D162" s="26" t="n">
        <f aca="false">Data!U162</f>
        <v>729</v>
      </c>
      <c r="E162" s="35" t="n">
        <f aca="false">Data!V162</f>
        <v>43012</v>
      </c>
    </row>
    <row r="163" customFormat="false" ht="14.25" hidden="false" customHeight="false" outlineLevel="0" collapsed="false">
      <c r="A163" s="34" t="n">
        <f aca="false">A162+1</f>
        <v>159</v>
      </c>
      <c r="B163" s="26" t="str">
        <f aca="false">Data!R163</f>
        <v>Clothing</v>
      </c>
      <c r="C163" s="26" t="str">
        <f aca="false">Data!S163</f>
        <v>Carol</v>
      </c>
      <c r="D163" s="26" t="n">
        <f aca="false">Data!U163</f>
        <v>1864</v>
      </c>
      <c r="E163" s="35" t="n">
        <f aca="false">Data!V163</f>
        <v>43029</v>
      </c>
    </row>
    <row r="164" customFormat="false" ht="14.25" hidden="false" customHeight="false" outlineLevel="0" collapsed="false">
      <c r="A164" s="34" t="n">
        <f aca="false">A163+1</f>
        <v>160</v>
      </c>
      <c r="B164" s="26" t="str">
        <f aca="false">Data!R164</f>
        <v>Books</v>
      </c>
      <c r="C164" s="26" t="str">
        <f aca="false">Data!S164</f>
        <v>Carol</v>
      </c>
      <c r="D164" s="26" t="n">
        <f aca="false">Data!U164</f>
        <v>0</v>
      </c>
      <c r="E164" s="35" t="n">
        <f aca="false">Data!V164</f>
        <v>43021</v>
      </c>
    </row>
    <row r="165" customFormat="false" ht="14.25" hidden="false" customHeight="false" outlineLevel="0" collapsed="false">
      <c r="A165" s="34" t="n">
        <f aca="false">A164+1</f>
        <v>161</v>
      </c>
      <c r="B165" s="26" t="str">
        <f aca="false">Data!R165</f>
        <v>Clothing</v>
      </c>
      <c r="C165" s="26" t="str">
        <f aca="false">Data!S165</f>
        <v>Carol</v>
      </c>
      <c r="D165" s="26" t="n">
        <f aca="false">Data!U165</f>
        <v>0</v>
      </c>
      <c r="E165" s="35" t="n">
        <f aca="false">Data!V165</f>
        <v>43027</v>
      </c>
    </row>
    <row r="166" customFormat="false" ht="14.25" hidden="false" customHeight="false" outlineLevel="0" collapsed="false">
      <c r="A166" s="34" t="n">
        <f aca="false">A165+1</f>
        <v>162</v>
      </c>
      <c r="B166" s="26" t="str">
        <f aca="false">Data!R166</f>
        <v>Clothing</v>
      </c>
      <c r="C166" s="26" t="str">
        <f aca="false">Data!S166</f>
        <v>David</v>
      </c>
      <c r="D166" s="26" t="n">
        <f aca="false">Data!U166</f>
        <v>850</v>
      </c>
      <c r="E166" s="35" t="n">
        <f aca="false">Data!V166</f>
        <v>43036</v>
      </c>
    </row>
    <row r="167" customFormat="false" ht="14.25" hidden="false" customHeight="false" outlineLevel="0" collapsed="false">
      <c r="A167" s="34" t="n">
        <f aca="false">A166+1</f>
        <v>163</v>
      </c>
      <c r="B167" s="26" t="str">
        <f aca="false">Data!R167</f>
        <v>Games</v>
      </c>
      <c r="C167" s="26" t="str">
        <f aca="false">Data!S167</f>
        <v>Carol</v>
      </c>
      <c r="D167" s="26" t="n">
        <f aca="false">Data!U167</f>
        <v>1500</v>
      </c>
      <c r="E167" s="35" t="n">
        <f aca="false">Data!V167</f>
        <v>43023</v>
      </c>
    </row>
    <row r="168" customFormat="false" ht="14.25" hidden="false" customHeight="false" outlineLevel="0" collapsed="false">
      <c r="A168" s="34" t="n">
        <f aca="false">A167+1</f>
        <v>164</v>
      </c>
      <c r="B168" s="26" t="str">
        <f aca="false">Data!R168</f>
        <v>Music</v>
      </c>
      <c r="C168" s="26" t="str">
        <f aca="false">Data!S168</f>
        <v>Carol</v>
      </c>
      <c r="D168" s="26" t="n">
        <f aca="false">Data!U168</f>
        <v>0</v>
      </c>
      <c r="E168" s="35" t="n">
        <f aca="false">Data!V168</f>
        <v>43019</v>
      </c>
    </row>
    <row r="169" customFormat="false" ht="14.25" hidden="false" customHeight="false" outlineLevel="0" collapsed="false">
      <c r="A169" s="34" t="n">
        <f aca="false">A168+1</f>
        <v>165</v>
      </c>
      <c r="B169" s="26" t="str">
        <f aca="false">Data!R169</f>
        <v>Music</v>
      </c>
      <c r="C169" s="26" t="str">
        <f aca="false">Data!S169</f>
        <v>Barney</v>
      </c>
      <c r="D169" s="26" t="n">
        <f aca="false">Data!U169</f>
        <v>1242</v>
      </c>
      <c r="E169" s="35" t="n">
        <f aca="false">Data!V169</f>
        <v>43012</v>
      </c>
    </row>
    <row r="170" customFormat="false" ht="14.25" hidden="false" customHeight="false" outlineLevel="0" collapsed="false">
      <c r="A170" s="34" t="n">
        <f aca="false">A169+1</f>
        <v>166</v>
      </c>
      <c r="B170" s="26" t="str">
        <f aca="false">Data!R170</f>
        <v>Music</v>
      </c>
      <c r="C170" s="26" t="str">
        <f aca="false">Data!S170</f>
        <v>Carol</v>
      </c>
      <c r="D170" s="26" t="n">
        <f aca="false">Data!U170</f>
        <v>0</v>
      </c>
      <c r="E170" s="35" t="n">
        <f aca="false">Data!V170</f>
        <v>43032</v>
      </c>
    </row>
    <row r="171" customFormat="false" ht="14.25" hidden="false" customHeight="false" outlineLevel="0" collapsed="false">
      <c r="A171" s="34" t="n">
        <f aca="false">A170+1</f>
        <v>167</v>
      </c>
      <c r="B171" s="26" t="str">
        <f aca="false">Data!R171</f>
        <v>Books</v>
      </c>
      <c r="C171" s="26" t="str">
        <f aca="false">Data!S171</f>
        <v>David</v>
      </c>
      <c r="D171" s="26" t="n">
        <f aca="false">Data!U171</f>
        <v>804</v>
      </c>
      <c r="E171" s="35" t="n">
        <f aca="false">Data!V171</f>
        <v>43031</v>
      </c>
    </row>
    <row r="172" customFormat="false" ht="14.25" hidden="false" customHeight="false" outlineLevel="0" collapsed="false">
      <c r="A172" s="34" t="n">
        <f aca="false">A171+1</f>
        <v>168</v>
      </c>
      <c r="B172" s="26" t="str">
        <f aca="false">Data!R172</f>
        <v>Clothing</v>
      </c>
      <c r="C172" s="26" t="str">
        <f aca="false">Data!S172</f>
        <v>Barney</v>
      </c>
      <c r="D172" s="26" t="n">
        <f aca="false">Data!U172</f>
        <v>615</v>
      </c>
      <c r="E172" s="35" t="n">
        <f aca="false">Data!V172</f>
        <v>43026</v>
      </c>
    </row>
    <row r="173" customFormat="false" ht="14.25" hidden="false" customHeight="false" outlineLevel="0" collapsed="false">
      <c r="A173" s="34" t="n">
        <f aca="false">A172+1</f>
        <v>169</v>
      </c>
      <c r="B173" s="26" t="str">
        <f aca="false">Data!R173</f>
        <v>Books</v>
      </c>
      <c r="C173" s="26" t="str">
        <f aca="false">Data!S173</f>
        <v>Barney</v>
      </c>
      <c r="D173" s="26" t="n">
        <f aca="false">Data!U173</f>
        <v>0</v>
      </c>
      <c r="E173" s="35" t="n">
        <f aca="false">Data!V173</f>
        <v>43014</v>
      </c>
    </row>
    <row r="174" customFormat="false" ht="14.25" hidden="false" customHeight="false" outlineLevel="0" collapsed="false">
      <c r="A174" s="34" t="n">
        <f aca="false">A173+1</f>
        <v>170</v>
      </c>
      <c r="B174" s="26" t="str">
        <f aca="false">Data!R174</f>
        <v>Games</v>
      </c>
      <c r="C174" s="26" t="str">
        <f aca="false">Data!S174</f>
        <v>Carol</v>
      </c>
      <c r="D174" s="26" t="n">
        <f aca="false">Data!U174</f>
        <v>1900</v>
      </c>
      <c r="E174" s="35" t="n">
        <f aca="false">Data!V174</f>
        <v>43024</v>
      </c>
    </row>
    <row r="175" customFormat="false" ht="14.25" hidden="false" customHeight="false" outlineLevel="0" collapsed="false">
      <c r="A175" s="34" t="n">
        <f aca="false">A174+1</f>
        <v>171</v>
      </c>
      <c r="B175" s="26" t="str">
        <f aca="false">Data!R175</f>
        <v>Clothing</v>
      </c>
      <c r="C175" s="26" t="str">
        <f aca="false">Data!S175</f>
        <v>Alice</v>
      </c>
      <c r="D175" s="26" t="n">
        <f aca="false">Data!U175</f>
        <v>1657</v>
      </c>
      <c r="E175" s="35" t="n">
        <f aca="false">Data!V175</f>
        <v>43010</v>
      </c>
    </row>
    <row r="176" customFormat="false" ht="14.25" hidden="false" customHeight="false" outlineLevel="0" collapsed="false">
      <c r="A176" s="34" t="n">
        <f aca="false">A175+1</f>
        <v>172</v>
      </c>
      <c r="B176" s="26" t="str">
        <f aca="false">Data!R176</f>
        <v>Clothing</v>
      </c>
      <c r="C176" s="26" t="str">
        <f aca="false">Data!S176</f>
        <v>Alice</v>
      </c>
      <c r="D176" s="26" t="n">
        <f aca="false">Data!U176</f>
        <v>1243</v>
      </c>
      <c r="E176" s="35" t="n">
        <f aca="false">Data!V176</f>
        <v>43034</v>
      </c>
    </row>
    <row r="177" customFormat="false" ht="14.25" hidden="false" customHeight="false" outlineLevel="0" collapsed="false">
      <c r="A177" s="34" t="n">
        <f aca="false">A176+1</f>
        <v>173</v>
      </c>
      <c r="B177" s="26" t="str">
        <f aca="false">Data!R177</f>
        <v>Clothing</v>
      </c>
      <c r="C177" s="26" t="str">
        <f aca="false">Data!S177</f>
        <v>Barney</v>
      </c>
      <c r="D177" s="26" t="n">
        <f aca="false">Data!U177</f>
        <v>0</v>
      </c>
      <c r="E177" s="35" t="n">
        <f aca="false">Data!V177</f>
        <v>43011</v>
      </c>
    </row>
    <row r="178" customFormat="false" ht="14.25" hidden="false" customHeight="false" outlineLevel="0" collapsed="false">
      <c r="A178" s="34" t="n">
        <f aca="false">A177+1</f>
        <v>174</v>
      </c>
      <c r="B178" s="26" t="str">
        <f aca="false">Data!R178</f>
        <v>Games</v>
      </c>
      <c r="C178" s="26" t="str">
        <f aca="false">Data!S178</f>
        <v>Carol</v>
      </c>
      <c r="D178" s="26" t="n">
        <f aca="false">Data!U178</f>
        <v>1616</v>
      </c>
      <c r="E178" s="35" t="n">
        <f aca="false">Data!V178</f>
        <v>43030</v>
      </c>
    </row>
    <row r="179" customFormat="false" ht="14.25" hidden="false" customHeight="false" outlineLevel="0" collapsed="false">
      <c r="A179" s="34" t="n">
        <f aca="false">A178+1</f>
        <v>175</v>
      </c>
      <c r="B179" s="26" t="str">
        <f aca="false">Data!R179</f>
        <v>Music</v>
      </c>
      <c r="C179" s="26" t="str">
        <f aca="false">Data!S179</f>
        <v>David</v>
      </c>
      <c r="D179" s="26" t="n">
        <f aca="false">Data!U179</f>
        <v>1136</v>
      </c>
      <c r="E179" s="35" t="n">
        <f aca="false">Data!V179</f>
        <v>43013</v>
      </c>
    </row>
    <row r="180" customFormat="false" ht="14.25" hidden="false" customHeight="false" outlineLevel="0" collapsed="false">
      <c r="A180" s="34" t="n">
        <f aca="false">A179+1</f>
        <v>176</v>
      </c>
      <c r="B180" s="26" t="str">
        <f aca="false">Data!R180</f>
        <v>Clothing</v>
      </c>
      <c r="C180" s="26" t="str">
        <f aca="false">Data!S180</f>
        <v>Alice</v>
      </c>
      <c r="D180" s="26" t="n">
        <f aca="false">Data!U180</f>
        <v>1671</v>
      </c>
      <c r="E180" s="35" t="n">
        <f aca="false">Data!V180</f>
        <v>43022</v>
      </c>
    </row>
    <row r="181" customFormat="false" ht="14.25" hidden="false" customHeight="false" outlineLevel="0" collapsed="false">
      <c r="A181" s="34" t="n">
        <f aca="false">A180+1</f>
        <v>177</v>
      </c>
      <c r="B181" s="26" t="str">
        <f aca="false">Data!R181</f>
        <v>Books</v>
      </c>
      <c r="C181" s="26" t="str">
        <f aca="false">Data!S181</f>
        <v>Alice</v>
      </c>
      <c r="D181" s="26" t="n">
        <f aca="false">Data!U181</f>
        <v>640</v>
      </c>
      <c r="E181" s="35" t="n">
        <f aca="false">Data!V181</f>
        <v>43017</v>
      </c>
    </row>
    <row r="182" customFormat="false" ht="14.25" hidden="false" customHeight="false" outlineLevel="0" collapsed="false">
      <c r="A182" s="34" t="n">
        <f aca="false">A181+1</f>
        <v>178</v>
      </c>
      <c r="B182" s="26" t="str">
        <f aca="false">Data!R182</f>
        <v>Music</v>
      </c>
      <c r="C182" s="26" t="str">
        <f aca="false">Data!S182</f>
        <v>Carol</v>
      </c>
      <c r="D182" s="26" t="n">
        <f aca="false">Data!U182</f>
        <v>952</v>
      </c>
      <c r="E182" s="35" t="n">
        <f aca="false">Data!V182</f>
        <v>43030</v>
      </c>
    </row>
    <row r="183" customFormat="false" ht="14.25" hidden="false" customHeight="false" outlineLevel="0" collapsed="false">
      <c r="A183" s="34" t="n">
        <f aca="false">A182+1</f>
        <v>179</v>
      </c>
      <c r="B183" s="26" t="str">
        <f aca="false">Data!R183</f>
        <v>Games</v>
      </c>
      <c r="C183" s="26" t="str">
        <f aca="false">Data!S183</f>
        <v>Barney</v>
      </c>
      <c r="D183" s="26" t="n">
        <f aca="false">Data!U183</f>
        <v>1198</v>
      </c>
      <c r="E183" s="35" t="n">
        <f aca="false">Data!V183</f>
        <v>43019</v>
      </c>
    </row>
    <row r="184" customFormat="false" ht="14.25" hidden="false" customHeight="false" outlineLevel="0" collapsed="false">
      <c r="A184" s="34" t="n">
        <f aca="false">A183+1</f>
        <v>180</v>
      </c>
      <c r="B184" s="26" t="str">
        <f aca="false">Data!R184</f>
        <v>Music</v>
      </c>
      <c r="C184" s="26" t="str">
        <f aca="false">Data!S184</f>
        <v>Barney</v>
      </c>
      <c r="D184" s="26" t="n">
        <f aca="false">Data!U184</f>
        <v>1291</v>
      </c>
      <c r="E184" s="35" t="n">
        <f aca="false">Data!V184</f>
        <v>43023</v>
      </c>
    </row>
    <row r="185" customFormat="false" ht="14.25" hidden="false" customHeight="false" outlineLevel="0" collapsed="false">
      <c r="A185" s="34" t="n">
        <f aca="false">A184+1</f>
        <v>181</v>
      </c>
      <c r="B185" s="26" t="str">
        <f aca="false">Data!R185</f>
        <v>Games</v>
      </c>
      <c r="C185" s="26" t="str">
        <f aca="false">Data!S185</f>
        <v>Carol</v>
      </c>
      <c r="D185" s="26" t="n">
        <f aca="false">Data!U185</f>
        <v>1037</v>
      </c>
      <c r="E185" s="35" t="n">
        <f aca="false">Data!V185</f>
        <v>43029</v>
      </c>
    </row>
    <row r="186" customFormat="false" ht="14.25" hidden="false" customHeight="false" outlineLevel="0" collapsed="false">
      <c r="A186" s="34" t="n">
        <f aca="false">A185+1</f>
        <v>182</v>
      </c>
      <c r="B186" s="26" t="str">
        <f aca="false">Data!R186</f>
        <v>Clothing</v>
      </c>
      <c r="C186" s="26" t="str">
        <f aca="false">Data!S186</f>
        <v>Barney</v>
      </c>
      <c r="D186" s="26" t="n">
        <f aca="false">Data!U186</f>
        <v>1105</v>
      </c>
      <c r="E186" s="35" t="n">
        <f aca="false">Data!V186</f>
        <v>43035</v>
      </c>
    </row>
    <row r="187" customFormat="false" ht="14.25" hidden="false" customHeight="false" outlineLevel="0" collapsed="false">
      <c r="A187" s="34" t="n">
        <f aca="false">A186+1</f>
        <v>183</v>
      </c>
      <c r="B187" s="26" t="str">
        <f aca="false">Data!R187</f>
        <v>Books</v>
      </c>
      <c r="C187" s="26" t="str">
        <f aca="false">Data!S187</f>
        <v>Carol</v>
      </c>
      <c r="D187" s="26" t="n">
        <f aca="false">Data!U187</f>
        <v>767</v>
      </c>
      <c r="E187" s="35" t="n">
        <f aca="false">Data!V187</f>
        <v>43032</v>
      </c>
    </row>
    <row r="188" customFormat="false" ht="14.25" hidden="false" customHeight="false" outlineLevel="0" collapsed="false">
      <c r="A188" s="34" t="n">
        <f aca="false">A187+1</f>
        <v>184</v>
      </c>
      <c r="B188" s="26" t="str">
        <f aca="false">Data!R188</f>
        <v>Clothing</v>
      </c>
      <c r="C188" s="26" t="str">
        <f aca="false">Data!S188</f>
        <v>Alice</v>
      </c>
      <c r="D188" s="26" t="n">
        <f aca="false">Data!U188</f>
        <v>1121</v>
      </c>
      <c r="E188" s="35" t="n">
        <f aca="false">Data!V188</f>
        <v>43011</v>
      </c>
    </row>
    <row r="189" customFormat="false" ht="14.25" hidden="false" customHeight="false" outlineLevel="0" collapsed="false">
      <c r="A189" s="34" t="n">
        <f aca="false">A188+1</f>
        <v>185</v>
      </c>
      <c r="B189" s="26" t="str">
        <f aca="false">Data!R189</f>
        <v>Music</v>
      </c>
      <c r="C189" s="26" t="str">
        <f aca="false">Data!S189</f>
        <v>Barney</v>
      </c>
      <c r="D189" s="26" t="n">
        <f aca="false">Data!U189</f>
        <v>914</v>
      </c>
      <c r="E189" s="35" t="n">
        <f aca="false">Data!V189</f>
        <v>43020</v>
      </c>
    </row>
    <row r="190" customFormat="false" ht="14.25" hidden="false" customHeight="false" outlineLevel="0" collapsed="false">
      <c r="A190" s="34" t="n">
        <f aca="false">A189+1</f>
        <v>186</v>
      </c>
      <c r="B190" s="26" t="str">
        <f aca="false">Data!R190</f>
        <v>Clothing</v>
      </c>
      <c r="C190" s="26" t="str">
        <f aca="false">Data!S190</f>
        <v>David</v>
      </c>
      <c r="D190" s="26" t="n">
        <f aca="false">Data!U190</f>
        <v>1631</v>
      </c>
      <c r="E190" s="35" t="n">
        <f aca="false">Data!V190</f>
        <v>43016</v>
      </c>
    </row>
    <row r="191" customFormat="false" ht="14.25" hidden="false" customHeight="false" outlineLevel="0" collapsed="false">
      <c r="A191" s="34" t="n">
        <f aca="false">A190+1</f>
        <v>187</v>
      </c>
      <c r="B191" s="26" t="str">
        <f aca="false">Data!R191</f>
        <v>Games</v>
      </c>
      <c r="C191" s="26" t="str">
        <f aca="false">Data!S191</f>
        <v>Barney</v>
      </c>
      <c r="D191" s="26" t="n">
        <f aca="false">Data!U191</f>
        <v>0</v>
      </c>
      <c r="E191" s="35" t="n">
        <f aca="false">Data!V191</f>
        <v>43012</v>
      </c>
    </row>
    <row r="192" customFormat="false" ht="14.25" hidden="false" customHeight="false" outlineLevel="0" collapsed="false">
      <c r="A192" s="34" t="n">
        <f aca="false">A191+1</f>
        <v>188</v>
      </c>
      <c r="B192" s="26" t="str">
        <f aca="false">Data!R192</f>
        <v>Games</v>
      </c>
      <c r="C192" s="26" t="str">
        <f aca="false">Data!S192</f>
        <v>David</v>
      </c>
      <c r="D192" s="26" t="n">
        <f aca="false">Data!U192</f>
        <v>1916</v>
      </c>
      <c r="E192" s="35" t="n">
        <f aca="false">Data!V192</f>
        <v>43029</v>
      </c>
    </row>
    <row r="193" customFormat="false" ht="14.25" hidden="false" customHeight="false" outlineLevel="0" collapsed="false">
      <c r="A193" s="34" t="n">
        <f aca="false">A192+1</f>
        <v>189</v>
      </c>
      <c r="B193" s="26" t="str">
        <f aca="false">Data!R193</f>
        <v>Games</v>
      </c>
      <c r="C193" s="26" t="str">
        <f aca="false">Data!S193</f>
        <v>Alice</v>
      </c>
      <c r="D193" s="26" t="n">
        <f aca="false">Data!U193</f>
        <v>2406</v>
      </c>
      <c r="E193" s="35" t="n">
        <f aca="false">Data!V193</f>
        <v>43014</v>
      </c>
    </row>
    <row r="194" customFormat="false" ht="14.25" hidden="false" customHeight="false" outlineLevel="0" collapsed="false">
      <c r="A194" s="34" t="n">
        <f aca="false">A193+1</f>
        <v>190</v>
      </c>
      <c r="B194" s="26" t="str">
        <f aca="false">Data!R194</f>
        <v>Games</v>
      </c>
      <c r="C194" s="26" t="str">
        <f aca="false">Data!S194</f>
        <v>Carol</v>
      </c>
      <c r="D194" s="26" t="n">
        <f aca="false">Data!U194</f>
        <v>1878</v>
      </c>
      <c r="E194" s="35" t="n">
        <f aca="false">Data!V194</f>
        <v>43020</v>
      </c>
    </row>
    <row r="195" customFormat="false" ht="14.25" hidden="false" customHeight="false" outlineLevel="0" collapsed="false">
      <c r="A195" s="34" t="n">
        <f aca="false">A194+1</f>
        <v>191</v>
      </c>
      <c r="B195" s="26" t="str">
        <f aca="false">Data!R195</f>
        <v>Games</v>
      </c>
      <c r="C195" s="26" t="str">
        <f aca="false">Data!S195</f>
        <v>David</v>
      </c>
      <c r="D195" s="26" t="n">
        <f aca="false">Data!U195</f>
        <v>0</v>
      </c>
      <c r="E195" s="35" t="n">
        <f aca="false">Data!V195</f>
        <v>43027</v>
      </c>
    </row>
    <row r="196" customFormat="false" ht="14.25" hidden="false" customHeight="false" outlineLevel="0" collapsed="false">
      <c r="A196" s="34" t="n">
        <f aca="false">A195+1</f>
        <v>192</v>
      </c>
      <c r="B196" s="26" t="str">
        <f aca="false">Data!R196</f>
        <v>Music</v>
      </c>
      <c r="C196" s="26" t="str">
        <f aca="false">Data!S196</f>
        <v>Carol</v>
      </c>
      <c r="D196" s="26" t="n">
        <f aca="false">Data!U196</f>
        <v>1360</v>
      </c>
      <c r="E196" s="35" t="n">
        <f aca="false">Data!V196</f>
        <v>43023</v>
      </c>
    </row>
    <row r="197" customFormat="false" ht="14.25" hidden="false" customHeight="false" outlineLevel="0" collapsed="false">
      <c r="A197" s="34" t="n">
        <f aca="false">A196+1</f>
        <v>193</v>
      </c>
      <c r="B197" s="26" t="str">
        <f aca="false">Data!R197</f>
        <v>Music</v>
      </c>
      <c r="C197" s="26" t="str">
        <f aca="false">Data!S197</f>
        <v>Carol</v>
      </c>
      <c r="D197" s="26" t="n">
        <f aca="false">Data!U197</f>
        <v>0</v>
      </c>
      <c r="E197" s="35" t="n">
        <f aca="false">Data!V197</f>
        <v>43022</v>
      </c>
    </row>
    <row r="198" customFormat="false" ht="14.25" hidden="false" customHeight="false" outlineLevel="0" collapsed="false">
      <c r="A198" s="34" t="n">
        <f aca="false">A197+1</f>
        <v>194</v>
      </c>
      <c r="B198" s="26" t="str">
        <f aca="false">Data!R198</f>
        <v>Books</v>
      </c>
      <c r="C198" s="26" t="str">
        <f aca="false">Data!S198</f>
        <v>Barney</v>
      </c>
      <c r="D198" s="26" t="n">
        <f aca="false">Data!U198</f>
        <v>844</v>
      </c>
      <c r="E198" s="35" t="n">
        <f aca="false">Data!V198</f>
        <v>43013</v>
      </c>
    </row>
    <row r="199" customFormat="false" ht="14.25" hidden="false" customHeight="false" outlineLevel="0" collapsed="false">
      <c r="A199" s="34" t="n">
        <f aca="false">A198+1</f>
        <v>195</v>
      </c>
      <c r="B199" s="26" t="str">
        <f aca="false">Data!R199</f>
        <v>Clothing</v>
      </c>
      <c r="C199" s="26" t="str">
        <f aca="false">Data!S199</f>
        <v>David</v>
      </c>
      <c r="D199" s="26" t="n">
        <f aca="false">Data!U199</f>
        <v>1172</v>
      </c>
      <c r="E199" s="35" t="n">
        <f aca="false">Data!V199</f>
        <v>43028</v>
      </c>
    </row>
    <row r="200" customFormat="false" ht="14.25" hidden="false" customHeight="false" outlineLevel="0" collapsed="false">
      <c r="A200" s="34" t="n">
        <f aca="false">A199+1</f>
        <v>196</v>
      </c>
      <c r="B200" s="26" t="str">
        <f aca="false">Data!R200</f>
        <v>Books</v>
      </c>
      <c r="C200" s="26" t="str">
        <f aca="false">Data!S200</f>
        <v>Alice</v>
      </c>
      <c r="D200" s="26" t="n">
        <f aca="false">Data!U200</f>
        <v>0</v>
      </c>
      <c r="E200" s="35" t="n">
        <f aca="false">Data!V200</f>
        <v>43038</v>
      </c>
    </row>
    <row r="201" customFormat="false" ht="14.25" hidden="false" customHeight="false" outlineLevel="0" collapsed="false">
      <c r="A201" s="34" t="n">
        <f aca="false">A200+1</f>
        <v>197</v>
      </c>
      <c r="B201" s="26" t="str">
        <f aca="false">Data!R201</f>
        <v>Music</v>
      </c>
      <c r="C201" s="26" t="str">
        <f aca="false">Data!S201</f>
        <v>Alice</v>
      </c>
      <c r="D201" s="26" t="n">
        <f aca="false">Data!U201</f>
        <v>924</v>
      </c>
      <c r="E201" s="35" t="n">
        <f aca="false">Data!V201</f>
        <v>43015</v>
      </c>
    </row>
    <row r="202" customFormat="false" ht="14.25" hidden="false" customHeight="false" outlineLevel="0" collapsed="false">
      <c r="A202" s="34" t="n">
        <f aca="false">A201+1</f>
        <v>198</v>
      </c>
      <c r="B202" s="26" t="str">
        <f aca="false">Data!R202</f>
        <v>Games</v>
      </c>
      <c r="C202" s="26" t="str">
        <f aca="false">Data!S202</f>
        <v>Barney</v>
      </c>
      <c r="D202" s="26" t="n">
        <f aca="false">Data!U202</f>
        <v>2368</v>
      </c>
      <c r="E202" s="35" t="n">
        <f aca="false">Data!V202</f>
        <v>43010</v>
      </c>
    </row>
    <row r="203" customFormat="false" ht="14.25" hidden="false" customHeight="false" outlineLevel="0" collapsed="false">
      <c r="A203" s="34" t="n">
        <f aca="false">A202+1</f>
        <v>199</v>
      </c>
      <c r="B203" s="26" t="str">
        <f aca="false">Data!R203</f>
        <v>Games</v>
      </c>
      <c r="C203" s="26" t="str">
        <f aca="false">Data!S203</f>
        <v>Carol</v>
      </c>
      <c r="D203" s="26" t="n">
        <f aca="false">Data!U203</f>
        <v>1616</v>
      </c>
      <c r="E203" s="35" t="n">
        <f aca="false">Data!V203</f>
        <v>43026</v>
      </c>
    </row>
    <row r="204" customFormat="false" ht="14.25" hidden="false" customHeight="false" outlineLevel="0" collapsed="false">
      <c r="A204" s="34" t="n">
        <f aca="false">A203+1</f>
        <v>200</v>
      </c>
      <c r="B204" s="26" t="str">
        <f aca="false">Data!R204</f>
        <v>Music</v>
      </c>
      <c r="C204" s="26" t="str">
        <f aca="false">Data!S204</f>
        <v>David</v>
      </c>
      <c r="D204" s="26" t="n">
        <f aca="false">Data!U204</f>
        <v>1445</v>
      </c>
      <c r="E204" s="35" t="n">
        <f aca="false">Data!V204</f>
        <v>43020</v>
      </c>
    </row>
    <row r="205" customFormat="false" ht="14.25" hidden="false" customHeight="false" outlineLevel="0" collapsed="false">
      <c r="A205" s="34" t="n">
        <f aca="false">A204+1</f>
        <v>201</v>
      </c>
      <c r="B205" s="26" t="str">
        <f aca="false">Data!R205</f>
        <v>Music</v>
      </c>
      <c r="C205" s="26" t="str">
        <f aca="false">Data!S205</f>
        <v>Carol</v>
      </c>
      <c r="D205" s="26" t="n">
        <f aca="false">Data!U205</f>
        <v>1133</v>
      </c>
      <c r="E205" s="35" t="n">
        <f aca="false">Data!V205</f>
        <v>43038</v>
      </c>
    </row>
    <row r="206" customFormat="false" ht="14.25" hidden="false" customHeight="false" outlineLevel="0" collapsed="false">
      <c r="A206" s="34" t="n">
        <f aca="false">A205+1</f>
        <v>202</v>
      </c>
      <c r="B206" s="26" t="str">
        <f aca="false">Data!R206</f>
        <v>Clothing</v>
      </c>
      <c r="C206" s="26" t="str">
        <f aca="false">Data!S206</f>
        <v>Carol</v>
      </c>
      <c r="D206" s="26" t="n">
        <f aca="false">Data!U206</f>
        <v>0</v>
      </c>
      <c r="E206" s="35" t="n">
        <f aca="false">Data!V206</f>
        <v>43013</v>
      </c>
    </row>
    <row r="207" customFormat="false" ht="14.25" hidden="false" customHeight="false" outlineLevel="0" collapsed="false">
      <c r="A207" s="34" t="n">
        <f aca="false">A206+1</f>
        <v>203</v>
      </c>
      <c r="B207" s="26" t="str">
        <f aca="false">Data!R207</f>
        <v>Clothing</v>
      </c>
      <c r="C207" s="26" t="str">
        <f aca="false">Data!S207</f>
        <v>Alice</v>
      </c>
      <c r="D207" s="26" t="n">
        <f aca="false">Data!U207</f>
        <v>874</v>
      </c>
      <c r="E207" s="35" t="n">
        <f aca="false">Data!V207</f>
        <v>43039</v>
      </c>
    </row>
    <row r="208" customFormat="false" ht="14.25" hidden="false" customHeight="false" outlineLevel="0" collapsed="false">
      <c r="A208" s="34" t="n">
        <f aca="false">A207+1</f>
        <v>204</v>
      </c>
      <c r="B208" s="26" t="str">
        <f aca="false">Data!R208</f>
        <v>Music</v>
      </c>
      <c r="C208" s="26" t="str">
        <f aca="false">Data!S208</f>
        <v>Carol</v>
      </c>
      <c r="D208" s="26" t="n">
        <f aca="false">Data!U208</f>
        <v>1003</v>
      </c>
      <c r="E208" s="35" t="n">
        <f aca="false">Data!V208</f>
        <v>43016</v>
      </c>
    </row>
    <row r="209" customFormat="false" ht="14.25" hidden="false" customHeight="false" outlineLevel="0" collapsed="false">
      <c r="A209" s="34" t="n">
        <f aca="false">A208+1</f>
        <v>205</v>
      </c>
      <c r="B209" s="26" t="str">
        <f aca="false">Data!R209</f>
        <v>Books</v>
      </c>
      <c r="C209" s="26" t="str">
        <f aca="false">Data!S209</f>
        <v>David</v>
      </c>
      <c r="D209" s="26" t="n">
        <f aca="false">Data!U209</f>
        <v>688</v>
      </c>
      <c r="E209" s="35" t="n">
        <f aca="false">Data!V209</f>
        <v>43020</v>
      </c>
    </row>
    <row r="210" customFormat="false" ht="14.25" hidden="false" customHeight="false" outlineLevel="0" collapsed="false">
      <c r="A210" s="34" t="n">
        <f aca="false">A209+1</f>
        <v>206</v>
      </c>
      <c r="B210" s="26" t="str">
        <f aca="false">Data!R210</f>
        <v>Clothing</v>
      </c>
      <c r="C210" s="26" t="str">
        <f aca="false">Data!S210</f>
        <v>Carol</v>
      </c>
      <c r="D210" s="26" t="n">
        <f aca="false">Data!U210</f>
        <v>1334</v>
      </c>
      <c r="E210" s="35" t="n">
        <f aca="false">Data!V210</f>
        <v>43030</v>
      </c>
    </row>
    <row r="211" customFormat="false" ht="14.25" hidden="false" customHeight="false" outlineLevel="0" collapsed="false">
      <c r="A211" s="34" t="n">
        <f aca="false">A210+1</f>
        <v>207</v>
      </c>
      <c r="B211" s="26" t="str">
        <f aca="false">Data!R211</f>
        <v>Books</v>
      </c>
      <c r="C211" s="26" t="str">
        <f aca="false">Data!S211</f>
        <v>Alice</v>
      </c>
      <c r="D211" s="26" t="n">
        <f aca="false">Data!U211</f>
        <v>552</v>
      </c>
      <c r="E211" s="35" t="n">
        <f aca="false">Data!V211</f>
        <v>43022</v>
      </c>
    </row>
    <row r="212" customFormat="false" ht="14.25" hidden="false" customHeight="false" outlineLevel="0" collapsed="false">
      <c r="A212" s="34" t="n">
        <f aca="false">A211+1</f>
        <v>208</v>
      </c>
      <c r="B212" s="26" t="str">
        <f aca="false">Data!R212</f>
        <v>Books</v>
      </c>
      <c r="C212" s="26" t="str">
        <f aca="false">Data!S212</f>
        <v>Carol</v>
      </c>
      <c r="D212" s="26" t="n">
        <f aca="false">Data!U212</f>
        <v>776</v>
      </c>
      <c r="E212" s="35" t="n">
        <f aca="false">Data!V212</f>
        <v>43019</v>
      </c>
    </row>
    <row r="213" customFormat="false" ht="14.25" hidden="false" customHeight="false" outlineLevel="0" collapsed="false">
      <c r="A213" s="34" t="n">
        <f aca="false">A212+1</f>
        <v>209</v>
      </c>
      <c r="B213" s="26" t="str">
        <f aca="false">Data!R213</f>
        <v>Games</v>
      </c>
      <c r="C213" s="26" t="str">
        <f aca="false">Data!S213</f>
        <v>Barney</v>
      </c>
      <c r="D213" s="26" t="n">
        <f aca="false">Data!U213</f>
        <v>1261</v>
      </c>
      <c r="E213" s="35" t="n">
        <f aca="false">Data!V213</f>
        <v>43036</v>
      </c>
    </row>
    <row r="214" customFormat="false" ht="14.25" hidden="false" customHeight="false" outlineLevel="0" collapsed="false">
      <c r="A214" s="34" t="n">
        <f aca="false">A213+1</f>
        <v>210</v>
      </c>
      <c r="B214" s="26" t="str">
        <f aca="false">Data!R214</f>
        <v>Music</v>
      </c>
      <c r="C214" s="26" t="str">
        <f aca="false">Data!S214</f>
        <v>David</v>
      </c>
      <c r="D214" s="26" t="n">
        <f aca="false">Data!U214</f>
        <v>1437</v>
      </c>
      <c r="E214" s="35" t="n">
        <f aca="false">Data!V214</f>
        <v>43030</v>
      </c>
    </row>
    <row r="215" customFormat="false" ht="14.25" hidden="false" customHeight="false" outlineLevel="0" collapsed="false">
      <c r="A215" s="34" t="n">
        <f aca="false">A214+1</f>
        <v>211</v>
      </c>
      <c r="B215" s="26" t="str">
        <f aca="false">Data!R215</f>
        <v>Clothing</v>
      </c>
      <c r="C215" s="26" t="str">
        <f aca="false">Data!S215</f>
        <v>David</v>
      </c>
      <c r="D215" s="26" t="n">
        <f aca="false">Data!U215</f>
        <v>0</v>
      </c>
      <c r="E215" s="35" t="n">
        <f aca="false">Data!V215</f>
        <v>43033</v>
      </c>
    </row>
    <row r="216" customFormat="false" ht="14.25" hidden="false" customHeight="false" outlineLevel="0" collapsed="false">
      <c r="A216" s="34" t="n">
        <f aca="false">A215+1</f>
        <v>212</v>
      </c>
      <c r="B216" s="26" t="str">
        <f aca="false">Data!R216</f>
        <v>Games</v>
      </c>
      <c r="C216" s="26" t="str">
        <f aca="false">Data!S216</f>
        <v>David</v>
      </c>
      <c r="D216" s="26" t="n">
        <f aca="false">Data!U216</f>
        <v>1562</v>
      </c>
      <c r="E216" s="35" t="n">
        <f aca="false">Data!V216</f>
        <v>43039</v>
      </c>
    </row>
    <row r="217" customFormat="false" ht="14.25" hidden="false" customHeight="false" outlineLevel="0" collapsed="false">
      <c r="A217" s="34" t="n">
        <f aca="false">A216+1</f>
        <v>213</v>
      </c>
      <c r="B217" s="26" t="str">
        <f aca="false">Data!R217</f>
        <v>Music</v>
      </c>
      <c r="C217" s="26" t="str">
        <f aca="false">Data!S217</f>
        <v>Alice</v>
      </c>
      <c r="D217" s="26" t="n">
        <f aca="false">Data!U217</f>
        <v>1342</v>
      </c>
      <c r="E217" s="35" t="n">
        <f aca="false">Data!V217</f>
        <v>43029</v>
      </c>
    </row>
    <row r="218" customFormat="false" ht="14.25" hidden="false" customHeight="false" outlineLevel="0" collapsed="false">
      <c r="A218" s="34" t="n">
        <f aca="false">A217+1</f>
        <v>214</v>
      </c>
      <c r="B218" s="26" t="str">
        <f aca="false">Data!R218</f>
        <v>Music</v>
      </c>
      <c r="C218" s="26" t="str">
        <f aca="false">Data!S218</f>
        <v>David</v>
      </c>
      <c r="D218" s="26" t="n">
        <f aca="false">Data!U218</f>
        <v>0</v>
      </c>
      <c r="E218" s="35" t="n">
        <f aca="false">Data!V218</f>
        <v>43011</v>
      </c>
    </row>
    <row r="219" customFormat="false" ht="14.25" hidden="false" customHeight="false" outlineLevel="0" collapsed="false">
      <c r="A219" s="34" t="n">
        <f aca="false">A218+1</f>
        <v>215</v>
      </c>
      <c r="B219" s="26" t="str">
        <f aca="false">Data!R219</f>
        <v>Games</v>
      </c>
      <c r="C219" s="26" t="str">
        <f aca="false">Data!S219</f>
        <v>Alice</v>
      </c>
      <c r="D219" s="26" t="n">
        <f aca="false">Data!U219</f>
        <v>892</v>
      </c>
      <c r="E219" s="35" t="n">
        <f aca="false">Data!V219</f>
        <v>43025</v>
      </c>
    </row>
    <row r="220" customFormat="false" ht="14.25" hidden="false" customHeight="false" outlineLevel="0" collapsed="false">
      <c r="A220" s="34" t="n">
        <f aca="false">A219+1</f>
        <v>216</v>
      </c>
      <c r="B220" s="26" t="str">
        <f aca="false">Data!R220</f>
        <v>Music</v>
      </c>
      <c r="C220" s="26" t="str">
        <f aca="false">Data!S220</f>
        <v>Alice</v>
      </c>
      <c r="D220" s="26" t="n">
        <f aca="false">Data!U220</f>
        <v>1236</v>
      </c>
      <c r="E220" s="35" t="n">
        <f aca="false">Data!V220</f>
        <v>43022</v>
      </c>
    </row>
    <row r="221" customFormat="false" ht="14.25" hidden="false" customHeight="false" outlineLevel="0" collapsed="false">
      <c r="A221" s="34" t="n">
        <f aca="false">A220+1</f>
        <v>217</v>
      </c>
      <c r="B221" s="26" t="str">
        <f aca="false">Data!R221</f>
        <v>Games</v>
      </c>
      <c r="C221" s="26" t="str">
        <f aca="false">Data!S221</f>
        <v>Carol</v>
      </c>
      <c r="D221" s="26" t="n">
        <f aca="false">Data!U221</f>
        <v>1289</v>
      </c>
      <c r="E221" s="35" t="n">
        <f aca="false">Data!V221</f>
        <v>43027</v>
      </c>
    </row>
    <row r="222" customFormat="false" ht="14.25" hidden="false" customHeight="false" outlineLevel="0" collapsed="false">
      <c r="A222" s="34" t="n">
        <f aca="false">A221+1</f>
        <v>218</v>
      </c>
      <c r="B222" s="26" t="str">
        <f aca="false">Data!R222</f>
        <v>Clothing</v>
      </c>
      <c r="C222" s="26" t="str">
        <f aca="false">Data!S222</f>
        <v>David</v>
      </c>
      <c r="D222" s="26" t="n">
        <f aca="false">Data!U222</f>
        <v>1414</v>
      </c>
      <c r="E222" s="35" t="n">
        <f aca="false">Data!V222</f>
        <v>43024</v>
      </c>
    </row>
    <row r="223" customFormat="false" ht="14.25" hidden="false" customHeight="false" outlineLevel="0" collapsed="false">
      <c r="A223" s="34" t="n">
        <f aca="false">A222+1</f>
        <v>219</v>
      </c>
      <c r="B223" s="26" t="str">
        <f aca="false">Data!R223</f>
        <v>Music</v>
      </c>
      <c r="C223" s="26" t="str">
        <f aca="false">Data!S223</f>
        <v>Barney</v>
      </c>
      <c r="D223" s="26" t="n">
        <f aca="false">Data!U223</f>
        <v>984</v>
      </c>
      <c r="E223" s="35" t="n">
        <f aca="false">Data!V223</f>
        <v>43015</v>
      </c>
    </row>
    <row r="224" customFormat="false" ht="14.25" hidden="false" customHeight="false" outlineLevel="0" collapsed="false">
      <c r="A224" s="34" t="n">
        <f aca="false">A223+1</f>
        <v>220</v>
      </c>
      <c r="B224" s="26" t="str">
        <f aca="false">Data!R224</f>
        <v>Music</v>
      </c>
      <c r="C224" s="26" t="str">
        <f aca="false">Data!S224</f>
        <v>Alice</v>
      </c>
      <c r="D224" s="26" t="n">
        <f aca="false">Data!U224</f>
        <v>0</v>
      </c>
      <c r="E224" s="35" t="n">
        <f aca="false">Data!V224</f>
        <v>43038</v>
      </c>
    </row>
    <row r="225" customFormat="false" ht="14.25" hidden="false" customHeight="false" outlineLevel="0" collapsed="false">
      <c r="A225" s="34" t="n">
        <f aca="false">A224+1</f>
        <v>221</v>
      </c>
      <c r="B225" s="26" t="str">
        <f aca="false">Data!R225</f>
        <v>Books</v>
      </c>
      <c r="C225" s="26" t="str">
        <f aca="false">Data!S225</f>
        <v>David</v>
      </c>
      <c r="D225" s="26" t="n">
        <f aca="false">Data!U225</f>
        <v>0</v>
      </c>
      <c r="E225" s="35" t="n">
        <f aca="false">Data!V225</f>
        <v>43021</v>
      </c>
    </row>
    <row r="226" customFormat="false" ht="14.25" hidden="false" customHeight="false" outlineLevel="0" collapsed="false">
      <c r="A226" s="34" t="n">
        <f aca="false">A225+1</f>
        <v>222</v>
      </c>
      <c r="B226" s="26" t="str">
        <f aca="false">Data!R226</f>
        <v>Clothing</v>
      </c>
      <c r="C226" s="26" t="str">
        <f aca="false">Data!S226</f>
        <v>Barney</v>
      </c>
      <c r="D226" s="26" t="n">
        <f aca="false">Data!U226</f>
        <v>718</v>
      </c>
      <c r="E226" s="35" t="n">
        <f aca="false">Data!V226</f>
        <v>43016</v>
      </c>
    </row>
    <row r="227" customFormat="false" ht="14.25" hidden="false" customHeight="false" outlineLevel="0" collapsed="false">
      <c r="A227" s="34" t="n">
        <f aca="false">A226+1</f>
        <v>223</v>
      </c>
      <c r="B227" s="26" t="str">
        <f aca="false">Data!R227</f>
        <v>Music</v>
      </c>
      <c r="C227" s="26" t="str">
        <f aca="false">Data!S227</f>
        <v>Alice</v>
      </c>
      <c r="D227" s="26" t="n">
        <f aca="false">Data!U227</f>
        <v>0</v>
      </c>
      <c r="E227" s="35" t="n">
        <f aca="false">Data!V227</f>
        <v>43011</v>
      </c>
    </row>
    <row r="228" customFormat="false" ht="14.25" hidden="false" customHeight="false" outlineLevel="0" collapsed="false">
      <c r="A228" s="34" t="n">
        <f aca="false">A227+1</f>
        <v>224</v>
      </c>
      <c r="B228" s="26" t="str">
        <f aca="false">Data!R228</f>
        <v>Music</v>
      </c>
      <c r="C228" s="26" t="str">
        <f aca="false">Data!S228</f>
        <v>Alice</v>
      </c>
      <c r="D228" s="26" t="n">
        <f aca="false">Data!U228</f>
        <v>975</v>
      </c>
      <c r="E228" s="35" t="n">
        <f aca="false">Data!V228</f>
        <v>43010</v>
      </c>
    </row>
    <row r="229" customFormat="false" ht="14.25" hidden="false" customHeight="false" outlineLevel="0" collapsed="false">
      <c r="A229" s="34" t="n">
        <f aca="false">A228+1</f>
        <v>225</v>
      </c>
      <c r="B229" s="26" t="str">
        <f aca="false">Data!R229</f>
        <v>Clothing</v>
      </c>
      <c r="C229" s="26" t="str">
        <f aca="false">Data!S229</f>
        <v>David</v>
      </c>
      <c r="D229" s="26" t="n">
        <f aca="false">Data!U229</f>
        <v>1545</v>
      </c>
      <c r="E229" s="35" t="n">
        <f aca="false">Data!V229</f>
        <v>43018</v>
      </c>
    </row>
    <row r="230" customFormat="false" ht="14.25" hidden="false" customHeight="false" outlineLevel="0" collapsed="false">
      <c r="A230" s="34" t="n">
        <f aca="false">A229+1</f>
        <v>226</v>
      </c>
      <c r="B230" s="26" t="str">
        <f aca="false">Data!R230</f>
        <v>Music</v>
      </c>
      <c r="C230" s="26" t="str">
        <f aca="false">Data!S230</f>
        <v>David</v>
      </c>
      <c r="D230" s="26" t="n">
        <f aca="false">Data!U230</f>
        <v>0</v>
      </c>
      <c r="E230" s="35" t="n">
        <f aca="false">Data!V230</f>
        <v>43014</v>
      </c>
    </row>
    <row r="231" customFormat="false" ht="14.25" hidden="false" customHeight="false" outlineLevel="0" collapsed="false">
      <c r="A231" s="34" t="n">
        <f aca="false">A230+1</f>
        <v>227</v>
      </c>
      <c r="B231" s="26" t="str">
        <f aca="false">Data!R231</f>
        <v>Music</v>
      </c>
      <c r="C231" s="26" t="str">
        <f aca="false">Data!S231</f>
        <v>Alice</v>
      </c>
      <c r="D231" s="26" t="n">
        <f aca="false">Data!U231</f>
        <v>0</v>
      </c>
      <c r="E231" s="35" t="n">
        <f aca="false">Data!V231</f>
        <v>43009</v>
      </c>
    </row>
    <row r="232" customFormat="false" ht="14.25" hidden="false" customHeight="false" outlineLevel="0" collapsed="false">
      <c r="A232" s="34" t="n">
        <f aca="false">A231+1</f>
        <v>228</v>
      </c>
      <c r="B232" s="26" t="str">
        <f aca="false">Data!R232</f>
        <v>Games</v>
      </c>
      <c r="C232" s="26" t="str">
        <f aca="false">Data!S232</f>
        <v>David</v>
      </c>
      <c r="D232" s="26" t="n">
        <f aca="false">Data!U232</f>
        <v>0</v>
      </c>
      <c r="E232" s="35" t="n">
        <f aca="false">Data!V232</f>
        <v>43037</v>
      </c>
    </row>
    <row r="233" customFormat="false" ht="14.25" hidden="false" customHeight="false" outlineLevel="0" collapsed="false">
      <c r="A233" s="34" t="n">
        <f aca="false">A232+1</f>
        <v>229</v>
      </c>
      <c r="B233" s="26" t="str">
        <f aca="false">Data!R233</f>
        <v>Books</v>
      </c>
      <c r="C233" s="26" t="str">
        <f aca="false">Data!S233</f>
        <v>Alice</v>
      </c>
      <c r="D233" s="26" t="n">
        <f aca="false">Data!U233</f>
        <v>743</v>
      </c>
      <c r="E233" s="35" t="n">
        <f aca="false">Data!V233</f>
        <v>43020</v>
      </c>
    </row>
    <row r="234" customFormat="false" ht="14.25" hidden="false" customHeight="false" outlineLevel="0" collapsed="false">
      <c r="A234" s="34" t="n">
        <f aca="false">A233+1</f>
        <v>230</v>
      </c>
      <c r="B234" s="26" t="str">
        <f aca="false">Data!R234</f>
        <v>Music</v>
      </c>
      <c r="C234" s="26" t="str">
        <f aca="false">Data!S234</f>
        <v>Alice</v>
      </c>
      <c r="D234" s="26" t="n">
        <f aca="false">Data!U234</f>
        <v>1347</v>
      </c>
      <c r="E234" s="35" t="n">
        <f aca="false">Data!V234</f>
        <v>43017</v>
      </c>
    </row>
    <row r="235" customFormat="false" ht="14.25" hidden="false" customHeight="false" outlineLevel="0" collapsed="false">
      <c r="A235" s="34" t="n">
        <f aca="false">A234+1</f>
        <v>231</v>
      </c>
      <c r="B235" s="26" t="str">
        <f aca="false">Data!R235</f>
        <v>Books</v>
      </c>
      <c r="C235" s="26" t="str">
        <f aca="false">Data!S235</f>
        <v>Alice</v>
      </c>
      <c r="D235" s="26" t="n">
        <f aca="false">Data!U235</f>
        <v>875</v>
      </c>
      <c r="E235" s="35" t="n">
        <f aca="false">Data!V235</f>
        <v>43029</v>
      </c>
    </row>
    <row r="236" customFormat="false" ht="14.25" hidden="false" customHeight="false" outlineLevel="0" collapsed="false">
      <c r="A236" s="34" t="n">
        <f aca="false">A235+1</f>
        <v>232</v>
      </c>
      <c r="B236" s="26" t="str">
        <f aca="false">Data!R236</f>
        <v>Games</v>
      </c>
      <c r="C236" s="26" t="str">
        <f aca="false">Data!S236</f>
        <v>Carol</v>
      </c>
      <c r="D236" s="26" t="n">
        <f aca="false">Data!U236</f>
        <v>2331</v>
      </c>
      <c r="E236" s="35" t="n">
        <f aca="false">Data!V236</f>
        <v>43022</v>
      </c>
    </row>
    <row r="237" customFormat="false" ht="14.25" hidden="false" customHeight="false" outlineLevel="0" collapsed="false">
      <c r="A237" s="34" t="n">
        <f aca="false">A236+1</f>
        <v>233</v>
      </c>
      <c r="B237" s="26" t="str">
        <f aca="false">Data!R237</f>
        <v>Books</v>
      </c>
      <c r="C237" s="26" t="str">
        <f aca="false">Data!S237</f>
        <v>Barney</v>
      </c>
      <c r="D237" s="26" t="n">
        <f aca="false">Data!U237</f>
        <v>0</v>
      </c>
      <c r="E237" s="35" t="n">
        <f aca="false">Data!V237</f>
        <v>43039</v>
      </c>
    </row>
    <row r="238" customFormat="false" ht="14.25" hidden="false" customHeight="false" outlineLevel="0" collapsed="false">
      <c r="A238" s="34" t="n">
        <f aca="false">A237+1</f>
        <v>234</v>
      </c>
      <c r="B238" s="26" t="str">
        <f aca="false">Data!R238</f>
        <v>Clothing</v>
      </c>
      <c r="C238" s="26" t="str">
        <f aca="false">Data!S238</f>
        <v>Alice</v>
      </c>
      <c r="D238" s="26" t="n">
        <f aca="false">Data!U238</f>
        <v>1182</v>
      </c>
      <c r="E238" s="35" t="n">
        <f aca="false">Data!V238</f>
        <v>43015</v>
      </c>
    </row>
    <row r="239" customFormat="false" ht="14.25" hidden="false" customHeight="false" outlineLevel="0" collapsed="false">
      <c r="A239" s="34" t="n">
        <f aca="false">A238+1</f>
        <v>235</v>
      </c>
      <c r="B239" s="26" t="str">
        <f aca="false">Data!R239</f>
        <v>Books</v>
      </c>
      <c r="C239" s="26" t="str">
        <f aca="false">Data!S239</f>
        <v>Alice</v>
      </c>
      <c r="D239" s="26" t="n">
        <f aca="false">Data!U239</f>
        <v>675</v>
      </c>
      <c r="E239" s="35" t="n">
        <f aca="false">Data!V239</f>
        <v>43019</v>
      </c>
    </row>
    <row r="240" customFormat="false" ht="14.25" hidden="false" customHeight="false" outlineLevel="0" collapsed="false">
      <c r="A240" s="34" t="n">
        <f aca="false">A239+1</f>
        <v>236</v>
      </c>
      <c r="B240" s="26" t="str">
        <f aca="false">Data!R240</f>
        <v>Music</v>
      </c>
      <c r="C240" s="26" t="str">
        <f aca="false">Data!S240</f>
        <v>Barney</v>
      </c>
      <c r="D240" s="26" t="n">
        <f aca="false">Data!U240</f>
        <v>981</v>
      </c>
      <c r="E240" s="35" t="n">
        <f aca="false">Data!V240</f>
        <v>43033</v>
      </c>
    </row>
    <row r="241" customFormat="false" ht="14.25" hidden="false" customHeight="false" outlineLevel="0" collapsed="false">
      <c r="A241" s="34" t="n">
        <f aca="false">A240+1</f>
        <v>237</v>
      </c>
      <c r="B241" s="26" t="str">
        <f aca="false">Data!R241</f>
        <v>Clothing</v>
      </c>
      <c r="C241" s="26" t="str">
        <f aca="false">Data!S241</f>
        <v>Alice</v>
      </c>
      <c r="D241" s="26" t="n">
        <f aca="false">Data!U241</f>
        <v>1693</v>
      </c>
      <c r="E241" s="35" t="n">
        <f aca="false">Data!V241</f>
        <v>43021</v>
      </c>
    </row>
    <row r="242" customFormat="false" ht="14.25" hidden="false" customHeight="false" outlineLevel="0" collapsed="false">
      <c r="A242" s="34" t="n">
        <f aca="false">A241+1</f>
        <v>238</v>
      </c>
      <c r="B242" s="26" t="str">
        <f aca="false">Data!R242</f>
        <v>Music</v>
      </c>
      <c r="C242" s="26" t="str">
        <f aca="false">Data!S242</f>
        <v>Alice</v>
      </c>
      <c r="D242" s="26" t="n">
        <f aca="false">Data!U242</f>
        <v>1499</v>
      </c>
      <c r="E242" s="35" t="n">
        <f aca="false">Data!V242</f>
        <v>43023</v>
      </c>
    </row>
    <row r="243" customFormat="false" ht="14.25" hidden="false" customHeight="false" outlineLevel="0" collapsed="false">
      <c r="A243" s="34" t="n">
        <f aca="false">A242+1</f>
        <v>239</v>
      </c>
      <c r="B243" s="26" t="str">
        <f aca="false">Data!R243</f>
        <v>Clothing</v>
      </c>
      <c r="C243" s="26" t="str">
        <f aca="false">Data!S243</f>
        <v>Carol</v>
      </c>
      <c r="D243" s="26" t="n">
        <f aca="false">Data!U243</f>
        <v>1774</v>
      </c>
      <c r="E243" s="35" t="n">
        <f aca="false">Data!V243</f>
        <v>43036</v>
      </c>
    </row>
    <row r="244" customFormat="false" ht="14.25" hidden="false" customHeight="false" outlineLevel="0" collapsed="false">
      <c r="A244" s="34" t="n">
        <f aca="false">A243+1</f>
        <v>240</v>
      </c>
      <c r="B244" s="26" t="str">
        <f aca="false">Data!R244</f>
        <v>Music</v>
      </c>
      <c r="C244" s="26" t="str">
        <f aca="false">Data!S244</f>
        <v>Carol</v>
      </c>
      <c r="D244" s="26" t="n">
        <f aca="false">Data!U244</f>
        <v>1256</v>
      </c>
      <c r="E244" s="35" t="n">
        <f aca="false">Data!V244</f>
        <v>43014</v>
      </c>
    </row>
    <row r="245" customFormat="false" ht="14.25" hidden="false" customHeight="false" outlineLevel="0" collapsed="false">
      <c r="A245" s="34" t="n">
        <f aca="false">A244+1</f>
        <v>241</v>
      </c>
      <c r="B245" s="26" t="str">
        <f aca="false">Data!R245</f>
        <v>Games</v>
      </c>
      <c r="C245" s="26" t="str">
        <f aca="false">Data!S245</f>
        <v>Carol</v>
      </c>
      <c r="D245" s="26" t="n">
        <f aca="false">Data!U245</f>
        <v>1298</v>
      </c>
      <c r="E245" s="35" t="n">
        <f aca="false">Data!V245</f>
        <v>43036</v>
      </c>
    </row>
    <row r="246" customFormat="false" ht="14.25" hidden="false" customHeight="false" outlineLevel="0" collapsed="false">
      <c r="A246" s="34" t="n">
        <f aca="false">A245+1</f>
        <v>242</v>
      </c>
      <c r="B246" s="26" t="str">
        <f aca="false">Data!R246</f>
        <v>Games</v>
      </c>
      <c r="C246" s="26" t="str">
        <f aca="false">Data!S246</f>
        <v>Barney</v>
      </c>
      <c r="D246" s="26" t="n">
        <f aca="false">Data!U246</f>
        <v>0</v>
      </c>
      <c r="E246" s="35" t="n">
        <f aca="false">Data!V246</f>
        <v>43029</v>
      </c>
    </row>
    <row r="247" customFormat="false" ht="14.25" hidden="false" customHeight="false" outlineLevel="0" collapsed="false">
      <c r="A247" s="34" t="n">
        <f aca="false">A246+1</f>
        <v>243</v>
      </c>
      <c r="B247" s="26" t="str">
        <f aca="false">Data!R247</f>
        <v>Books</v>
      </c>
      <c r="C247" s="26" t="str">
        <f aca="false">Data!S247</f>
        <v>Carol</v>
      </c>
      <c r="D247" s="26" t="n">
        <f aca="false">Data!U247</f>
        <v>0</v>
      </c>
      <c r="E247" s="35" t="n">
        <f aca="false">Data!V247</f>
        <v>43014</v>
      </c>
    </row>
    <row r="248" customFormat="false" ht="14.25" hidden="false" customHeight="false" outlineLevel="0" collapsed="false">
      <c r="A248" s="34" t="n">
        <f aca="false">A247+1</f>
        <v>244</v>
      </c>
      <c r="B248" s="26" t="str">
        <f aca="false">Data!R248</f>
        <v>Clothing</v>
      </c>
      <c r="C248" s="26" t="str">
        <f aca="false">Data!S248</f>
        <v>Carol</v>
      </c>
      <c r="D248" s="26" t="n">
        <f aca="false">Data!U248</f>
        <v>987</v>
      </c>
      <c r="E248" s="35" t="n">
        <f aca="false">Data!V248</f>
        <v>43017</v>
      </c>
    </row>
    <row r="249" customFormat="false" ht="14.25" hidden="false" customHeight="false" outlineLevel="0" collapsed="false">
      <c r="A249" s="34" t="n">
        <f aca="false">A248+1</f>
        <v>245</v>
      </c>
      <c r="B249" s="26" t="str">
        <f aca="false">Data!R249</f>
        <v>Music</v>
      </c>
      <c r="C249" s="26" t="str">
        <f aca="false">Data!S249</f>
        <v>David</v>
      </c>
      <c r="D249" s="26" t="n">
        <f aca="false">Data!U249</f>
        <v>1454</v>
      </c>
      <c r="E249" s="35" t="n">
        <f aca="false">Data!V249</f>
        <v>43021</v>
      </c>
    </row>
    <row r="250" customFormat="false" ht="14.25" hidden="false" customHeight="false" outlineLevel="0" collapsed="false">
      <c r="A250" s="34" t="n">
        <f aca="false">A249+1</f>
        <v>246</v>
      </c>
      <c r="B250" s="26" t="str">
        <f aca="false">Data!R250</f>
        <v>Games</v>
      </c>
      <c r="C250" s="26" t="str">
        <f aca="false">Data!S250</f>
        <v>Carol</v>
      </c>
      <c r="D250" s="26" t="n">
        <f aca="false">Data!U250</f>
        <v>0</v>
      </c>
      <c r="E250" s="35" t="n">
        <f aca="false">Data!V250</f>
        <v>43037</v>
      </c>
    </row>
    <row r="251" customFormat="false" ht="14.25" hidden="false" customHeight="false" outlineLevel="0" collapsed="false">
      <c r="A251" s="34" t="n">
        <f aca="false">A250+1</f>
        <v>247</v>
      </c>
      <c r="B251" s="26" t="str">
        <f aca="false">Data!R251</f>
        <v>Games</v>
      </c>
      <c r="C251" s="26" t="str">
        <f aca="false">Data!S251</f>
        <v>Carol</v>
      </c>
      <c r="D251" s="26" t="n">
        <f aca="false">Data!U251</f>
        <v>803</v>
      </c>
      <c r="E251" s="35" t="n">
        <f aca="false">Data!V251</f>
        <v>43038</v>
      </c>
    </row>
    <row r="252" customFormat="false" ht="14.25" hidden="false" customHeight="false" outlineLevel="0" collapsed="false">
      <c r="A252" s="34" t="n">
        <f aca="false">A251+1</f>
        <v>248</v>
      </c>
      <c r="B252" s="26" t="str">
        <f aca="false">Data!R252</f>
        <v>Games</v>
      </c>
      <c r="C252" s="26" t="str">
        <f aca="false">Data!S252</f>
        <v>Barney</v>
      </c>
      <c r="D252" s="26" t="n">
        <f aca="false">Data!U252</f>
        <v>0</v>
      </c>
      <c r="E252" s="35" t="n">
        <f aca="false">Data!V252</f>
        <v>43013</v>
      </c>
    </row>
    <row r="253" customFormat="false" ht="14.25" hidden="false" customHeight="false" outlineLevel="0" collapsed="false">
      <c r="A253" s="34" t="n">
        <f aca="false">A252+1</f>
        <v>249</v>
      </c>
      <c r="B253" s="26" t="str">
        <f aca="false">Data!R253</f>
        <v>Clothing</v>
      </c>
      <c r="C253" s="26" t="str">
        <f aca="false">Data!S253</f>
        <v>Barney</v>
      </c>
      <c r="D253" s="26" t="n">
        <f aca="false">Data!U253</f>
        <v>0</v>
      </c>
      <c r="E253" s="35" t="n">
        <f aca="false">Data!V253</f>
        <v>43038</v>
      </c>
    </row>
    <row r="254" customFormat="false" ht="14.25" hidden="false" customHeight="false" outlineLevel="0" collapsed="false">
      <c r="A254" s="34" t="n">
        <f aca="false">A253+1</f>
        <v>250</v>
      </c>
      <c r="B254" s="26" t="str">
        <f aca="false">Data!R254</f>
        <v>Music</v>
      </c>
      <c r="C254" s="26" t="str">
        <f aca="false">Data!S254</f>
        <v>Barney</v>
      </c>
      <c r="D254" s="26" t="n">
        <f aca="false">Data!U254</f>
        <v>1227</v>
      </c>
      <c r="E254" s="35" t="n">
        <f aca="false">Data!V254</f>
        <v>43038</v>
      </c>
    </row>
    <row r="255" customFormat="false" ht="14.25" hidden="false" customHeight="false" outlineLevel="0" collapsed="false">
      <c r="A255" s="34" t="n">
        <f aca="false">A254+1</f>
        <v>251</v>
      </c>
      <c r="B255" s="26" t="str">
        <f aca="false">Data!R255</f>
        <v>Music</v>
      </c>
      <c r="C255" s="26" t="str">
        <f aca="false">Data!S255</f>
        <v>Alice</v>
      </c>
      <c r="D255" s="26" t="n">
        <f aca="false">Data!U255</f>
        <v>1325</v>
      </c>
      <c r="E255" s="35" t="n">
        <f aca="false">Data!V255</f>
        <v>43035</v>
      </c>
    </row>
    <row r="256" customFormat="false" ht="14.25" hidden="false" customHeight="false" outlineLevel="0" collapsed="false">
      <c r="A256" s="34" t="n">
        <f aca="false">A255+1</f>
        <v>252</v>
      </c>
      <c r="B256" s="26" t="str">
        <f aca="false">Data!R256</f>
        <v>Clothing</v>
      </c>
      <c r="C256" s="26" t="str">
        <f aca="false">Data!S256</f>
        <v>David</v>
      </c>
      <c r="D256" s="26" t="n">
        <f aca="false">Data!U256</f>
        <v>0</v>
      </c>
      <c r="E256" s="35" t="n">
        <f aca="false">Data!V256</f>
        <v>43026</v>
      </c>
    </row>
    <row r="257" customFormat="false" ht="14.25" hidden="false" customHeight="false" outlineLevel="0" collapsed="false">
      <c r="A257" s="34" t="n">
        <f aca="false">A256+1</f>
        <v>253</v>
      </c>
      <c r="B257" s="26" t="str">
        <f aca="false">Data!R257</f>
        <v>Games</v>
      </c>
      <c r="C257" s="26" t="str">
        <f aca="false">Data!S257</f>
        <v>Alice</v>
      </c>
      <c r="D257" s="26" t="n">
        <f aca="false">Data!U257</f>
        <v>1035</v>
      </c>
      <c r="E257" s="35" t="n">
        <f aca="false">Data!V257</f>
        <v>43032</v>
      </c>
    </row>
    <row r="258" customFormat="false" ht="14.25" hidden="false" customHeight="false" outlineLevel="0" collapsed="false">
      <c r="A258" s="34" t="n">
        <f aca="false">A257+1</f>
        <v>254</v>
      </c>
      <c r="B258" s="26" t="str">
        <f aca="false">Data!R258</f>
        <v>Books</v>
      </c>
      <c r="C258" s="26" t="str">
        <f aca="false">Data!S258</f>
        <v>David</v>
      </c>
      <c r="D258" s="26" t="n">
        <f aca="false">Data!U258</f>
        <v>553</v>
      </c>
      <c r="E258" s="35" t="n">
        <f aca="false">Data!V258</f>
        <v>43038</v>
      </c>
    </row>
    <row r="259" customFormat="false" ht="14.25" hidden="false" customHeight="false" outlineLevel="0" collapsed="false">
      <c r="A259" s="34" t="n">
        <f aca="false">A258+1</f>
        <v>255</v>
      </c>
      <c r="B259" s="26" t="str">
        <f aca="false">Data!R259</f>
        <v>Music</v>
      </c>
      <c r="C259" s="26" t="str">
        <f aca="false">Data!S259</f>
        <v>Barney</v>
      </c>
      <c r="D259" s="26" t="n">
        <f aca="false">Data!U259</f>
        <v>1139</v>
      </c>
      <c r="E259" s="35" t="n">
        <f aca="false">Data!V259</f>
        <v>43029</v>
      </c>
    </row>
    <row r="260" customFormat="false" ht="14.25" hidden="false" customHeight="false" outlineLevel="0" collapsed="false">
      <c r="A260" s="34" t="n">
        <f aca="false">A259+1</f>
        <v>256</v>
      </c>
      <c r="B260" s="26" t="str">
        <f aca="false">Data!R260</f>
        <v>Games</v>
      </c>
      <c r="C260" s="26" t="str">
        <f aca="false">Data!S260</f>
        <v>Barney</v>
      </c>
      <c r="D260" s="26" t="n">
        <f aca="false">Data!U260</f>
        <v>0</v>
      </c>
      <c r="E260" s="35" t="n">
        <f aca="false">Data!V260</f>
        <v>43037</v>
      </c>
    </row>
    <row r="261" customFormat="false" ht="14.25" hidden="false" customHeight="false" outlineLevel="0" collapsed="false">
      <c r="A261" s="34" t="n">
        <f aca="false">A260+1</f>
        <v>257</v>
      </c>
      <c r="B261" s="26" t="str">
        <f aca="false">Data!R261</f>
        <v>Music</v>
      </c>
      <c r="C261" s="26" t="str">
        <f aca="false">Data!S261</f>
        <v>Carol</v>
      </c>
      <c r="D261" s="26" t="n">
        <f aca="false">Data!U261</f>
        <v>0</v>
      </c>
      <c r="E261" s="35" t="n">
        <f aca="false">Data!V261</f>
        <v>43034</v>
      </c>
    </row>
    <row r="262" customFormat="false" ht="14.25" hidden="false" customHeight="false" outlineLevel="0" collapsed="false">
      <c r="A262" s="34" t="n">
        <f aca="false">A261+1</f>
        <v>258</v>
      </c>
      <c r="B262" s="26" t="str">
        <f aca="false">Data!R262</f>
        <v>Books</v>
      </c>
      <c r="C262" s="26" t="str">
        <f aca="false">Data!S262</f>
        <v>Barney</v>
      </c>
      <c r="D262" s="26" t="n">
        <f aca="false">Data!U262</f>
        <v>922</v>
      </c>
      <c r="E262" s="35" t="n">
        <f aca="false">Data!V262</f>
        <v>43021</v>
      </c>
    </row>
    <row r="263" customFormat="false" ht="14.25" hidden="false" customHeight="false" outlineLevel="0" collapsed="false">
      <c r="A263" s="34" t="n">
        <f aca="false">A262+1</f>
        <v>259</v>
      </c>
      <c r="B263" s="26" t="str">
        <f aca="false">Data!R263</f>
        <v>Books</v>
      </c>
      <c r="C263" s="26" t="str">
        <f aca="false">Data!S263</f>
        <v>Alice</v>
      </c>
      <c r="D263" s="26" t="n">
        <f aca="false">Data!U263</f>
        <v>933</v>
      </c>
      <c r="E263" s="35" t="n">
        <f aca="false">Data!V263</f>
        <v>43037</v>
      </c>
    </row>
    <row r="264" customFormat="false" ht="14.25" hidden="false" customHeight="false" outlineLevel="0" collapsed="false">
      <c r="A264" s="34" t="n">
        <f aca="false">A263+1</f>
        <v>260</v>
      </c>
      <c r="B264" s="26" t="str">
        <f aca="false">Data!R264</f>
        <v>Music</v>
      </c>
      <c r="C264" s="26" t="str">
        <f aca="false">Data!S264</f>
        <v>Carol</v>
      </c>
      <c r="D264" s="26" t="n">
        <f aca="false">Data!U264</f>
        <v>902</v>
      </c>
      <c r="E264" s="35" t="n">
        <f aca="false">Data!V264</f>
        <v>43009</v>
      </c>
    </row>
    <row r="265" customFormat="false" ht="14.25" hidden="false" customHeight="false" outlineLevel="0" collapsed="false">
      <c r="A265" s="34" t="n">
        <f aca="false">A264+1</f>
        <v>261</v>
      </c>
      <c r="B265" s="26" t="str">
        <f aca="false">Data!R265</f>
        <v>Books</v>
      </c>
      <c r="C265" s="26" t="str">
        <f aca="false">Data!S265</f>
        <v>Barney</v>
      </c>
      <c r="D265" s="26" t="n">
        <f aca="false">Data!U265</f>
        <v>885</v>
      </c>
      <c r="E265" s="35" t="n">
        <f aca="false">Data!V265</f>
        <v>43010</v>
      </c>
    </row>
    <row r="266" customFormat="false" ht="14.25" hidden="false" customHeight="false" outlineLevel="0" collapsed="false">
      <c r="A266" s="34" t="n">
        <f aca="false">A265+1</f>
        <v>262</v>
      </c>
      <c r="B266" s="26" t="str">
        <f aca="false">Data!R266</f>
        <v>Clothing</v>
      </c>
      <c r="C266" s="26" t="str">
        <f aca="false">Data!S266</f>
        <v>Barney</v>
      </c>
      <c r="D266" s="26" t="n">
        <f aca="false">Data!U266</f>
        <v>0</v>
      </c>
      <c r="E266" s="35" t="n">
        <f aca="false">Data!V266</f>
        <v>43039</v>
      </c>
    </row>
    <row r="267" customFormat="false" ht="14.25" hidden="false" customHeight="false" outlineLevel="0" collapsed="false">
      <c r="A267" s="34" t="n">
        <f aca="false">A266+1</f>
        <v>263</v>
      </c>
      <c r="B267" s="26" t="str">
        <f aca="false">Data!R267</f>
        <v>Clothing</v>
      </c>
      <c r="C267" s="26" t="str">
        <f aca="false">Data!S267</f>
        <v>Alice</v>
      </c>
      <c r="D267" s="26" t="n">
        <f aca="false">Data!U267</f>
        <v>0</v>
      </c>
      <c r="E267" s="35" t="n">
        <f aca="false">Data!V267</f>
        <v>43024</v>
      </c>
    </row>
    <row r="268" customFormat="false" ht="14.25" hidden="false" customHeight="false" outlineLevel="0" collapsed="false">
      <c r="A268" s="34" t="n">
        <f aca="false">A267+1</f>
        <v>264</v>
      </c>
      <c r="B268" s="26" t="str">
        <f aca="false">Data!R268</f>
        <v>Music</v>
      </c>
      <c r="C268" s="26" t="str">
        <f aca="false">Data!S268</f>
        <v>David</v>
      </c>
      <c r="D268" s="26" t="n">
        <f aca="false">Data!U268</f>
        <v>1040</v>
      </c>
      <c r="E268" s="35" t="n">
        <f aca="false">Data!V268</f>
        <v>43018</v>
      </c>
    </row>
    <row r="269" customFormat="false" ht="14.25" hidden="false" customHeight="false" outlineLevel="0" collapsed="false">
      <c r="A269" s="34" t="n">
        <f aca="false">A268+1</f>
        <v>265</v>
      </c>
      <c r="B269" s="26" t="str">
        <f aca="false">Data!R269</f>
        <v>Clothing</v>
      </c>
      <c r="C269" s="26" t="str">
        <f aca="false">Data!S269</f>
        <v>Carol</v>
      </c>
      <c r="D269" s="26" t="n">
        <f aca="false">Data!U269</f>
        <v>0</v>
      </c>
      <c r="E269" s="35" t="n">
        <f aca="false">Data!V269</f>
        <v>43039</v>
      </c>
    </row>
    <row r="270" customFormat="false" ht="14.25" hidden="false" customHeight="false" outlineLevel="0" collapsed="false">
      <c r="A270" s="34" t="n">
        <f aca="false">A269+1</f>
        <v>266</v>
      </c>
      <c r="B270" s="26" t="str">
        <f aca="false">Data!R270</f>
        <v>Games</v>
      </c>
      <c r="C270" s="26" t="str">
        <f aca="false">Data!S270</f>
        <v>Carol</v>
      </c>
      <c r="D270" s="26" t="n">
        <f aca="false">Data!U270</f>
        <v>2347</v>
      </c>
      <c r="E270" s="35" t="n">
        <f aca="false">Data!V270</f>
        <v>43013</v>
      </c>
    </row>
    <row r="271" customFormat="false" ht="14.25" hidden="false" customHeight="false" outlineLevel="0" collapsed="false">
      <c r="A271" s="34" t="n">
        <f aca="false">A270+1</f>
        <v>267</v>
      </c>
      <c r="B271" s="26" t="str">
        <f aca="false">Data!R271</f>
        <v>Games</v>
      </c>
      <c r="C271" s="26" t="str">
        <f aca="false">Data!S271</f>
        <v>Alice</v>
      </c>
      <c r="D271" s="26" t="n">
        <f aca="false">Data!U271</f>
        <v>1388</v>
      </c>
      <c r="E271" s="35" t="n">
        <f aca="false">Data!V271</f>
        <v>43027</v>
      </c>
    </row>
    <row r="272" customFormat="false" ht="14.25" hidden="false" customHeight="false" outlineLevel="0" collapsed="false">
      <c r="A272" s="34" t="n">
        <f aca="false">A271+1</f>
        <v>268</v>
      </c>
      <c r="B272" s="26" t="str">
        <f aca="false">Data!R272</f>
        <v>Clothing</v>
      </c>
      <c r="C272" s="26" t="str">
        <f aca="false">Data!S272</f>
        <v>David</v>
      </c>
      <c r="D272" s="26" t="n">
        <f aca="false">Data!U272</f>
        <v>0</v>
      </c>
      <c r="E272" s="35" t="n">
        <f aca="false">Data!V272</f>
        <v>43010</v>
      </c>
    </row>
    <row r="273" customFormat="false" ht="14.25" hidden="false" customHeight="false" outlineLevel="0" collapsed="false">
      <c r="A273" s="34" t="n">
        <f aca="false">A272+1</f>
        <v>269</v>
      </c>
      <c r="B273" s="26" t="str">
        <f aca="false">Data!R273</f>
        <v>Clothing</v>
      </c>
      <c r="C273" s="26" t="str">
        <f aca="false">Data!S273</f>
        <v>Barney</v>
      </c>
      <c r="D273" s="26" t="n">
        <f aca="false">Data!U273</f>
        <v>1992</v>
      </c>
      <c r="E273" s="35" t="n">
        <f aca="false">Data!V273</f>
        <v>43012</v>
      </c>
    </row>
    <row r="274" customFormat="false" ht="14.25" hidden="false" customHeight="false" outlineLevel="0" collapsed="false">
      <c r="A274" s="34" t="n">
        <f aca="false">A273+1</f>
        <v>270</v>
      </c>
      <c r="B274" s="26" t="str">
        <f aca="false">Data!R274</f>
        <v>Games</v>
      </c>
      <c r="C274" s="26" t="str">
        <f aca="false">Data!S274</f>
        <v>David</v>
      </c>
      <c r="D274" s="26" t="n">
        <f aca="false">Data!U274</f>
        <v>1110</v>
      </c>
      <c r="E274" s="35" t="n">
        <f aca="false">Data!V274</f>
        <v>43022</v>
      </c>
    </row>
    <row r="275" customFormat="false" ht="14.25" hidden="false" customHeight="false" outlineLevel="0" collapsed="false">
      <c r="A275" s="34" t="n">
        <f aca="false">A274+1</f>
        <v>271</v>
      </c>
      <c r="B275" s="26" t="str">
        <f aca="false">Data!R275</f>
        <v>Music</v>
      </c>
      <c r="C275" s="26" t="str">
        <f aca="false">Data!S275</f>
        <v>David</v>
      </c>
      <c r="D275" s="26" t="n">
        <f aca="false">Data!U275</f>
        <v>1315</v>
      </c>
      <c r="E275" s="35" t="n">
        <f aca="false">Data!V275</f>
        <v>43010</v>
      </c>
    </row>
    <row r="276" customFormat="false" ht="14.25" hidden="false" customHeight="false" outlineLevel="0" collapsed="false">
      <c r="A276" s="34" t="n">
        <f aca="false">A275+1</f>
        <v>272</v>
      </c>
      <c r="B276" s="26" t="str">
        <f aca="false">Data!R276</f>
        <v>Clothing</v>
      </c>
      <c r="C276" s="26" t="str">
        <f aca="false">Data!S276</f>
        <v>David</v>
      </c>
      <c r="D276" s="26" t="n">
        <f aca="false">Data!U276</f>
        <v>962</v>
      </c>
      <c r="E276" s="35" t="n">
        <f aca="false">Data!V276</f>
        <v>43022</v>
      </c>
    </row>
    <row r="277" customFormat="false" ht="14.25" hidden="false" customHeight="false" outlineLevel="0" collapsed="false">
      <c r="A277" s="34" t="n">
        <f aca="false">A276+1</f>
        <v>273</v>
      </c>
      <c r="B277" s="26" t="str">
        <f aca="false">Data!R277</f>
        <v>Clothing</v>
      </c>
      <c r="C277" s="26" t="str">
        <f aca="false">Data!S277</f>
        <v>David</v>
      </c>
      <c r="D277" s="26" t="n">
        <f aca="false">Data!U277</f>
        <v>1066</v>
      </c>
      <c r="E277" s="35" t="n">
        <f aca="false">Data!V277</f>
        <v>43020</v>
      </c>
    </row>
    <row r="278" customFormat="false" ht="14.25" hidden="false" customHeight="false" outlineLevel="0" collapsed="false">
      <c r="A278" s="34" t="n">
        <f aca="false">A277+1</f>
        <v>274</v>
      </c>
      <c r="B278" s="26" t="str">
        <f aca="false">Data!R278</f>
        <v>Books</v>
      </c>
      <c r="C278" s="26" t="str">
        <f aca="false">Data!S278</f>
        <v>David</v>
      </c>
      <c r="D278" s="26" t="n">
        <f aca="false">Data!U278</f>
        <v>749</v>
      </c>
      <c r="E278" s="35" t="n">
        <f aca="false">Data!V278</f>
        <v>43033</v>
      </c>
    </row>
    <row r="279" customFormat="false" ht="14.25" hidden="false" customHeight="false" outlineLevel="0" collapsed="false">
      <c r="A279" s="34" t="n">
        <f aca="false">A278+1</f>
        <v>275</v>
      </c>
      <c r="B279" s="26" t="str">
        <f aca="false">Data!R279</f>
        <v>Clothing</v>
      </c>
      <c r="C279" s="26" t="str">
        <f aca="false">Data!S279</f>
        <v>Carol</v>
      </c>
      <c r="D279" s="26" t="n">
        <f aca="false">Data!U279</f>
        <v>1535</v>
      </c>
      <c r="E279" s="35" t="n">
        <f aca="false">Data!V279</f>
        <v>43015</v>
      </c>
    </row>
    <row r="280" customFormat="false" ht="14.25" hidden="false" customHeight="false" outlineLevel="0" collapsed="false">
      <c r="A280" s="34" t="n">
        <f aca="false">A279+1</f>
        <v>276</v>
      </c>
      <c r="B280" s="26" t="str">
        <f aca="false">Data!R280</f>
        <v>Music</v>
      </c>
      <c r="C280" s="26" t="str">
        <f aca="false">Data!S280</f>
        <v>Alice</v>
      </c>
      <c r="D280" s="26" t="n">
        <f aca="false">Data!U280</f>
        <v>1330</v>
      </c>
      <c r="E280" s="35" t="n">
        <f aca="false">Data!V280</f>
        <v>43034</v>
      </c>
    </row>
    <row r="281" customFormat="false" ht="14.25" hidden="false" customHeight="false" outlineLevel="0" collapsed="false">
      <c r="A281" s="34" t="n">
        <f aca="false">A280+1</f>
        <v>277</v>
      </c>
      <c r="B281" s="26" t="str">
        <f aca="false">Data!R281</f>
        <v>Games</v>
      </c>
      <c r="C281" s="26" t="str">
        <f aca="false">Data!S281</f>
        <v>Carol</v>
      </c>
      <c r="D281" s="26" t="n">
        <f aca="false">Data!U281</f>
        <v>0</v>
      </c>
      <c r="E281" s="35" t="n">
        <f aca="false">Data!V281</f>
        <v>43019</v>
      </c>
    </row>
    <row r="282" customFormat="false" ht="14.25" hidden="false" customHeight="false" outlineLevel="0" collapsed="false">
      <c r="A282" s="34" t="n">
        <f aca="false">A281+1</f>
        <v>278</v>
      </c>
      <c r="B282" s="26" t="str">
        <f aca="false">Data!R282</f>
        <v>Games</v>
      </c>
      <c r="C282" s="26" t="str">
        <f aca="false">Data!S282</f>
        <v>David</v>
      </c>
      <c r="D282" s="26" t="n">
        <f aca="false">Data!U282</f>
        <v>1248</v>
      </c>
      <c r="E282" s="35" t="n">
        <f aca="false">Data!V282</f>
        <v>43014</v>
      </c>
    </row>
    <row r="283" customFormat="false" ht="14.25" hidden="false" customHeight="false" outlineLevel="0" collapsed="false">
      <c r="A283" s="34" t="n">
        <f aca="false">A282+1</f>
        <v>279</v>
      </c>
      <c r="B283" s="26" t="str">
        <f aca="false">Data!R283</f>
        <v>Clothing</v>
      </c>
      <c r="C283" s="26" t="str">
        <f aca="false">Data!S283</f>
        <v>David</v>
      </c>
      <c r="D283" s="26" t="n">
        <f aca="false">Data!U283</f>
        <v>1106</v>
      </c>
      <c r="E283" s="35" t="n">
        <f aca="false">Data!V283</f>
        <v>43014</v>
      </c>
    </row>
    <row r="284" customFormat="false" ht="14.25" hidden="false" customHeight="false" outlineLevel="0" collapsed="false">
      <c r="A284" s="34" t="n">
        <f aca="false">A283+1</f>
        <v>280</v>
      </c>
      <c r="B284" s="26" t="str">
        <f aca="false">Data!R284</f>
        <v>Games</v>
      </c>
      <c r="C284" s="26" t="str">
        <f aca="false">Data!S284</f>
        <v>Alice</v>
      </c>
      <c r="D284" s="26" t="n">
        <f aca="false">Data!U284</f>
        <v>1164</v>
      </c>
      <c r="E284" s="35" t="n">
        <f aca="false">Data!V284</f>
        <v>43037</v>
      </c>
    </row>
    <row r="285" customFormat="false" ht="14.25" hidden="false" customHeight="false" outlineLevel="0" collapsed="false">
      <c r="A285" s="34" t="n">
        <f aca="false">A284+1</f>
        <v>281</v>
      </c>
      <c r="B285" s="26" t="str">
        <f aca="false">Data!R285</f>
        <v>Games</v>
      </c>
      <c r="C285" s="26" t="str">
        <f aca="false">Data!S285</f>
        <v>Barney</v>
      </c>
      <c r="D285" s="26" t="n">
        <f aca="false">Data!U285</f>
        <v>0</v>
      </c>
      <c r="E285" s="35" t="n">
        <f aca="false">Data!V285</f>
        <v>43014</v>
      </c>
    </row>
    <row r="286" customFormat="false" ht="14.25" hidden="false" customHeight="false" outlineLevel="0" collapsed="false">
      <c r="A286" s="34" t="n">
        <f aca="false">A285+1</f>
        <v>282</v>
      </c>
      <c r="B286" s="26" t="str">
        <f aca="false">Data!R286</f>
        <v>Games</v>
      </c>
      <c r="C286" s="26" t="str">
        <f aca="false">Data!S286</f>
        <v>David</v>
      </c>
      <c r="D286" s="26" t="n">
        <f aca="false">Data!U286</f>
        <v>1281</v>
      </c>
      <c r="E286" s="35" t="n">
        <f aca="false">Data!V286</f>
        <v>43038</v>
      </c>
    </row>
    <row r="287" customFormat="false" ht="14.25" hidden="false" customHeight="false" outlineLevel="0" collapsed="false">
      <c r="A287" s="34" t="n">
        <f aca="false">A286+1</f>
        <v>283</v>
      </c>
      <c r="B287" s="26" t="str">
        <f aca="false">Data!R287</f>
        <v>Music</v>
      </c>
      <c r="C287" s="26" t="str">
        <f aca="false">Data!S287</f>
        <v>Alice</v>
      </c>
      <c r="D287" s="26" t="n">
        <f aca="false">Data!U287</f>
        <v>0</v>
      </c>
      <c r="E287" s="35" t="n">
        <f aca="false">Data!V287</f>
        <v>43027</v>
      </c>
    </row>
    <row r="288" customFormat="false" ht="14.25" hidden="false" customHeight="false" outlineLevel="0" collapsed="false">
      <c r="A288" s="34" t="n">
        <f aca="false">A287+1</f>
        <v>284</v>
      </c>
      <c r="B288" s="26" t="str">
        <f aca="false">Data!R288</f>
        <v>Clothing</v>
      </c>
      <c r="C288" s="26" t="str">
        <f aca="false">Data!S288</f>
        <v>Alice</v>
      </c>
      <c r="D288" s="26" t="n">
        <f aca="false">Data!U288</f>
        <v>0</v>
      </c>
      <c r="E288" s="35" t="n">
        <f aca="false">Data!V288</f>
        <v>43035</v>
      </c>
    </row>
    <row r="289" customFormat="false" ht="14.25" hidden="false" customHeight="false" outlineLevel="0" collapsed="false">
      <c r="A289" s="34" t="n">
        <f aca="false">A288+1</f>
        <v>285</v>
      </c>
      <c r="B289" s="26" t="str">
        <f aca="false">Data!R289</f>
        <v>Books</v>
      </c>
      <c r="C289" s="26" t="str">
        <f aca="false">Data!S289</f>
        <v>David</v>
      </c>
      <c r="D289" s="26" t="n">
        <f aca="false">Data!U289</f>
        <v>0</v>
      </c>
      <c r="E289" s="35" t="n">
        <f aca="false">Data!V289</f>
        <v>43035</v>
      </c>
    </row>
    <row r="290" customFormat="false" ht="14.25" hidden="false" customHeight="false" outlineLevel="0" collapsed="false">
      <c r="A290" s="34" t="n">
        <f aca="false">A289+1</f>
        <v>286</v>
      </c>
      <c r="B290" s="26" t="str">
        <f aca="false">Data!R290</f>
        <v>Clothing</v>
      </c>
      <c r="C290" s="26" t="str">
        <f aca="false">Data!S290</f>
        <v>Alice</v>
      </c>
      <c r="D290" s="26" t="n">
        <f aca="false">Data!U290</f>
        <v>1616</v>
      </c>
      <c r="E290" s="35" t="n">
        <f aca="false">Data!V290</f>
        <v>43012</v>
      </c>
    </row>
    <row r="291" customFormat="false" ht="14.25" hidden="false" customHeight="false" outlineLevel="0" collapsed="false">
      <c r="A291" s="34" t="n">
        <f aca="false">A290+1</f>
        <v>287</v>
      </c>
      <c r="B291" s="26" t="str">
        <f aca="false">Data!R291</f>
        <v>Games</v>
      </c>
      <c r="C291" s="26" t="str">
        <f aca="false">Data!S291</f>
        <v>Alice</v>
      </c>
      <c r="D291" s="26" t="n">
        <f aca="false">Data!U291</f>
        <v>2087</v>
      </c>
      <c r="E291" s="35" t="n">
        <f aca="false">Data!V291</f>
        <v>43028</v>
      </c>
    </row>
    <row r="292" customFormat="false" ht="14.25" hidden="false" customHeight="false" outlineLevel="0" collapsed="false">
      <c r="A292" s="34" t="n">
        <f aca="false">A291+1</f>
        <v>288</v>
      </c>
      <c r="B292" s="26" t="str">
        <f aca="false">Data!R292</f>
        <v>Books</v>
      </c>
      <c r="C292" s="26" t="str">
        <f aca="false">Data!S292</f>
        <v>Alice</v>
      </c>
      <c r="D292" s="26" t="n">
        <f aca="false">Data!U292</f>
        <v>762</v>
      </c>
      <c r="E292" s="35" t="n">
        <f aca="false">Data!V292</f>
        <v>43032</v>
      </c>
    </row>
    <row r="293" customFormat="false" ht="14.25" hidden="false" customHeight="false" outlineLevel="0" collapsed="false">
      <c r="A293" s="34" t="n">
        <f aca="false">A292+1</f>
        <v>289</v>
      </c>
      <c r="B293" s="26" t="str">
        <f aca="false">Data!R293</f>
        <v>Clothing</v>
      </c>
      <c r="C293" s="26" t="str">
        <f aca="false">Data!S293</f>
        <v>Barney</v>
      </c>
      <c r="D293" s="26" t="n">
        <f aca="false">Data!U293</f>
        <v>0</v>
      </c>
      <c r="E293" s="35" t="n">
        <f aca="false">Data!V293</f>
        <v>43031</v>
      </c>
    </row>
    <row r="294" customFormat="false" ht="14.25" hidden="false" customHeight="false" outlineLevel="0" collapsed="false">
      <c r="A294" s="34" t="n">
        <f aca="false">A293+1</f>
        <v>290</v>
      </c>
      <c r="B294" s="26" t="str">
        <f aca="false">Data!R294</f>
        <v>Books</v>
      </c>
      <c r="C294" s="26" t="str">
        <f aca="false">Data!S294</f>
        <v>Barney</v>
      </c>
      <c r="D294" s="26" t="n">
        <f aca="false">Data!U294</f>
        <v>0</v>
      </c>
      <c r="E294" s="35" t="n">
        <f aca="false">Data!V294</f>
        <v>43011</v>
      </c>
    </row>
    <row r="295" customFormat="false" ht="14.25" hidden="false" customHeight="false" outlineLevel="0" collapsed="false">
      <c r="A295" s="34" t="n">
        <f aca="false">A294+1</f>
        <v>291</v>
      </c>
      <c r="B295" s="26" t="str">
        <f aca="false">Data!R295</f>
        <v>Books</v>
      </c>
      <c r="C295" s="26" t="str">
        <f aca="false">Data!S295</f>
        <v>David</v>
      </c>
      <c r="D295" s="26" t="n">
        <f aca="false">Data!U295</f>
        <v>904</v>
      </c>
      <c r="E295" s="35" t="n">
        <f aca="false">Data!V295</f>
        <v>43036</v>
      </c>
    </row>
    <row r="296" customFormat="false" ht="14.25" hidden="false" customHeight="false" outlineLevel="0" collapsed="false">
      <c r="A296" s="34" t="n">
        <f aca="false">A295+1</f>
        <v>292</v>
      </c>
      <c r="B296" s="26" t="str">
        <f aca="false">Data!R296</f>
        <v>Books</v>
      </c>
      <c r="C296" s="26" t="str">
        <f aca="false">Data!S296</f>
        <v>Alice</v>
      </c>
      <c r="D296" s="26" t="n">
        <f aca="false">Data!U296</f>
        <v>0</v>
      </c>
      <c r="E296" s="35" t="n">
        <f aca="false">Data!V296</f>
        <v>43018</v>
      </c>
    </row>
    <row r="297" customFormat="false" ht="14.25" hidden="false" customHeight="false" outlineLevel="0" collapsed="false">
      <c r="A297" s="34" t="n">
        <f aca="false">A296+1</f>
        <v>293</v>
      </c>
      <c r="B297" s="26" t="str">
        <f aca="false">Data!R297</f>
        <v>Games</v>
      </c>
      <c r="C297" s="26" t="str">
        <f aca="false">Data!S297</f>
        <v>Barney</v>
      </c>
      <c r="D297" s="26" t="n">
        <f aca="false">Data!U297</f>
        <v>0</v>
      </c>
      <c r="E297" s="35" t="n">
        <f aca="false">Data!V297</f>
        <v>43023</v>
      </c>
    </row>
    <row r="298" customFormat="false" ht="14.25" hidden="false" customHeight="false" outlineLevel="0" collapsed="false">
      <c r="A298" s="34" t="n">
        <f aca="false">A297+1</f>
        <v>294</v>
      </c>
      <c r="B298" s="26" t="str">
        <f aca="false">Data!R298</f>
        <v>Books</v>
      </c>
      <c r="C298" s="26" t="str">
        <f aca="false">Data!S298</f>
        <v>David</v>
      </c>
      <c r="D298" s="26" t="n">
        <f aca="false">Data!U298</f>
        <v>523</v>
      </c>
      <c r="E298" s="35" t="n">
        <f aca="false">Data!V298</f>
        <v>43014</v>
      </c>
    </row>
    <row r="299" customFormat="false" ht="14.25" hidden="false" customHeight="false" outlineLevel="0" collapsed="false">
      <c r="A299" s="34" t="n">
        <f aca="false">A298+1</f>
        <v>295</v>
      </c>
      <c r="B299" s="26" t="str">
        <f aca="false">Data!R299</f>
        <v>Clothing</v>
      </c>
      <c r="C299" s="26" t="str">
        <f aca="false">Data!S299</f>
        <v>Carol</v>
      </c>
      <c r="D299" s="26" t="n">
        <f aca="false">Data!U299</f>
        <v>905</v>
      </c>
      <c r="E299" s="35" t="n">
        <f aca="false">Data!V299</f>
        <v>43026</v>
      </c>
    </row>
    <row r="300" customFormat="false" ht="14.25" hidden="false" customHeight="false" outlineLevel="0" collapsed="false">
      <c r="A300" s="34" t="n">
        <f aca="false">A299+1</f>
        <v>296</v>
      </c>
      <c r="B300" s="26" t="str">
        <f aca="false">Data!R300</f>
        <v>Clothing</v>
      </c>
      <c r="C300" s="26" t="str">
        <f aca="false">Data!S300</f>
        <v>Alice</v>
      </c>
      <c r="D300" s="26" t="n">
        <f aca="false">Data!U300</f>
        <v>834</v>
      </c>
      <c r="E300" s="35" t="n">
        <f aca="false">Data!V300</f>
        <v>43029</v>
      </c>
    </row>
    <row r="301" customFormat="false" ht="14.25" hidden="false" customHeight="false" outlineLevel="0" collapsed="false">
      <c r="A301" s="34" t="n">
        <f aca="false">A300+1</f>
        <v>297</v>
      </c>
      <c r="B301" s="26" t="str">
        <f aca="false">Data!R301</f>
        <v>Clothing</v>
      </c>
      <c r="C301" s="26" t="str">
        <f aca="false">Data!S301</f>
        <v>Barney</v>
      </c>
      <c r="D301" s="26" t="n">
        <f aca="false">Data!U301</f>
        <v>1740</v>
      </c>
      <c r="E301" s="35" t="n">
        <f aca="false">Data!V301</f>
        <v>43025</v>
      </c>
    </row>
    <row r="302" customFormat="false" ht="14.25" hidden="false" customHeight="false" outlineLevel="0" collapsed="false">
      <c r="A302" s="34" t="n">
        <f aca="false">A301+1</f>
        <v>298</v>
      </c>
      <c r="B302" s="26" t="str">
        <f aca="false">Data!R302</f>
        <v>Music</v>
      </c>
      <c r="C302" s="26" t="str">
        <f aca="false">Data!S302</f>
        <v>Carol</v>
      </c>
      <c r="D302" s="26" t="n">
        <f aca="false">Data!U302</f>
        <v>1143</v>
      </c>
      <c r="E302" s="35" t="n">
        <f aca="false">Data!V302</f>
        <v>43021</v>
      </c>
    </row>
    <row r="303" customFormat="false" ht="14.25" hidden="false" customHeight="false" outlineLevel="0" collapsed="false">
      <c r="A303" s="34" t="n">
        <f aca="false">A302+1</f>
        <v>299</v>
      </c>
      <c r="B303" s="26" t="str">
        <f aca="false">Data!R303</f>
        <v>Clothing</v>
      </c>
      <c r="C303" s="26" t="str">
        <f aca="false">Data!S303</f>
        <v>Barney</v>
      </c>
      <c r="D303" s="26" t="n">
        <f aca="false">Data!U303</f>
        <v>0</v>
      </c>
      <c r="E303" s="35" t="n">
        <f aca="false">Data!V303</f>
        <v>43027</v>
      </c>
    </row>
    <row r="304" customFormat="false" ht="14.25" hidden="false" customHeight="false" outlineLevel="0" collapsed="false">
      <c r="A304" s="34" t="n">
        <f aca="false">A303+1</f>
        <v>300</v>
      </c>
      <c r="B304" s="26" t="str">
        <f aca="false">Data!R304</f>
        <v>Music</v>
      </c>
      <c r="C304" s="26" t="str">
        <f aca="false">Data!S304</f>
        <v>Barney</v>
      </c>
      <c r="D304" s="26" t="n">
        <f aca="false">Data!U304</f>
        <v>984</v>
      </c>
      <c r="E304" s="35" t="n">
        <f aca="false">Data!V304</f>
        <v>43031</v>
      </c>
    </row>
    <row r="305" customFormat="false" ht="14.25" hidden="false" customHeight="false" outlineLevel="0" collapsed="false">
      <c r="A305" s="34" t="n">
        <f aca="false">A304+1</f>
        <v>301</v>
      </c>
      <c r="B305" s="26" t="str">
        <f aca="false">Data!R305</f>
        <v>Books</v>
      </c>
      <c r="C305" s="26" t="str">
        <f aca="false">Data!S305</f>
        <v>Barney</v>
      </c>
      <c r="D305" s="26" t="n">
        <f aca="false">Data!U305</f>
        <v>604</v>
      </c>
      <c r="E305" s="35" t="n">
        <f aca="false">Data!V305</f>
        <v>43027</v>
      </c>
    </row>
    <row r="306" customFormat="false" ht="14.25" hidden="false" customHeight="false" outlineLevel="0" collapsed="false">
      <c r="A306" s="34" t="n">
        <f aca="false">A305+1</f>
        <v>302</v>
      </c>
      <c r="B306" s="26" t="str">
        <f aca="false">Data!R306</f>
        <v>Games</v>
      </c>
      <c r="C306" s="26" t="str">
        <f aca="false">Data!S306</f>
        <v>Barney</v>
      </c>
      <c r="D306" s="26" t="n">
        <f aca="false">Data!U306</f>
        <v>1349</v>
      </c>
      <c r="E306" s="35" t="n">
        <f aca="false">Data!V306</f>
        <v>43021</v>
      </c>
    </row>
    <row r="307" customFormat="false" ht="14.25" hidden="false" customHeight="false" outlineLevel="0" collapsed="false">
      <c r="A307" s="34" t="n">
        <f aca="false">A306+1</f>
        <v>303</v>
      </c>
      <c r="B307" s="26" t="str">
        <f aca="false">Data!R307</f>
        <v>Books</v>
      </c>
      <c r="C307" s="26" t="str">
        <f aca="false">Data!S307</f>
        <v>David</v>
      </c>
      <c r="D307" s="26" t="n">
        <f aca="false">Data!U307</f>
        <v>852</v>
      </c>
      <c r="E307" s="35" t="n">
        <f aca="false">Data!V307</f>
        <v>43023</v>
      </c>
    </row>
    <row r="308" customFormat="false" ht="14.25" hidden="false" customHeight="false" outlineLevel="0" collapsed="false">
      <c r="A308" s="34" t="n">
        <f aca="false">A307+1</f>
        <v>304</v>
      </c>
      <c r="B308" s="26" t="str">
        <f aca="false">Data!R308</f>
        <v>Books</v>
      </c>
      <c r="C308" s="26" t="str">
        <f aca="false">Data!S308</f>
        <v>Barney</v>
      </c>
      <c r="D308" s="26" t="n">
        <f aca="false">Data!U308</f>
        <v>621</v>
      </c>
      <c r="E308" s="35" t="n">
        <f aca="false">Data!V308</f>
        <v>43022</v>
      </c>
    </row>
    <row r="309" customFormat="false" ht="14.25" hidden="false" customHeight="false" outlineLevel="0" collapsed="false">
      <c r="A309" s="34" t="n">
        <f aca="false">A308+1</f>
        <v>305</v>
      </c>
      <c r="B309" s="26" t="str">
        <f aca="false">Data!R309</f>
        <v>Books</v>
      </c>
      <c r="C309" s="26" t="str">
        <f aca="false">Data!S309</f>
        <v>Alice</v>
      </c>
      <c r="D309" s="26" t="n">
        <f aca="false">Data!U309</f>
        <v>950</v>
      </c>
      <c r="E309" s="35" t="n">
        <f aca="false">Data!V309</f>
        <v>43034</v>
      </c>
    </row>
    <row r="310" customFormat="false" ht="14.25" hidden="false" customHeight="false" outlineLevel="0" collapsed="false">
      <c r="A310" s="34" t="n">
        <f aca="false">A309+1</f>
        <v>306</v>
      </c>
      <c r="B310" s="26" t="str">
        <f aca="false">Data!R310</f>
        <v>Books</v>
      </c>
      <c r="C310" s="26" t="str">
        <f aca="false">Data!S310</f>
        <v>Carol</v>
      </c>
      <c r="D310" s="26" t="n">
        <f aca="false">Data!U310</f>
        <v>713</v>
      </c>
      <c r="E310" s="35" t="n">
        <f aca="false">Data!V310</f>
        <v>43028</v>
      </c>
    </row>
    <row r="311" customFormat="false" ht="14.25" hidden="false" customHeight="false" outlineLevel="0" collapsed="false">
      <c r="A311" s="34" t="n">
        <f aca="false">A310+1</f>
        <v>307</v>
      </c>
      <c r="B311" s="26" t="str">
        <f aca="false">Data!R311</f>
        <v>Clothing</v>
      </c>
      <c r="C311" s="26" t="str">
        <f aca="false">Data!S311</f>
        <v>Barney</v>
      </c>
      <c r="D311" s="26" t="n">
        <f aca="false">Data!U311</f>
        <v>999</v>
      </c>
      <c r="E311" s="35" t="n">
        <f aca="false">Data!V311</f>
        <v>43013</v>
      </c>
    </row>
    <row r="312" customFormat="false" ht="14.25" hidden="false" customHeight="false" outlineLevel="0" collapsed="false">
      <c r="A312" s="34" t="n">
        <f aca="false">A311+1</f>
        <v>308</v>
      </c>
      <c r="B312" s="26" t="str">
        <f aca="false">Data!R312</f>
        <v>Clothing</v>
      </c>
      <c r="C312" s="26" t="str">
        <f aca="false">Data!S312</f>
        <v>Carol</v>
      </c>
      <c r="D312" s="26" t="n">
        <f aca="false">Data!U312</f>
        <v>1635</v>
      </c>
      <c r="E312" s="35" t="n">
        <f aca="false">Data!V312</f>
        <v>43019</v>
      </c>
    </row>
    <row r="313" customFormat="false" ht="14.25" hidden="false" customHeight="false" outlineLevel="0" collapsed="false">
      <c r="A313" s="34" t="n">
        <f aca="false">A312+1</f>
        <v>309</v>
      </c>
      <c r="B313" s="26" t="str">
        <f aca="false">Data!R313</f>
        <v>Books</v>
      </c>
      <c r="C313" s="26" t="str">
        <f aca="false">Data!S313</f>
        <v>Alice</v>
      </c>
      <c r="D313" s="26" t="n">
        <f aca="false">Data!U313</f>
        <v>940</v>
      </c>
      <c r="E313" s="35" t="n">
        <f aca="false">Data!V313</f>
        <v>43028</v>
      </c>
    </row>
    <row r="314" customFormat="false" ht="14.25" hidden="false" customHeight="false" outlineLevel="0" collapsed="false">
      <c r="A314" s="34" t="n">
        <f aca="false">A313+1</f>
        <v>310</v>
      </c>
      <c r="B314" s="26" t="str">
        <f aca="false">Data!R314</f>
        <v>Music</v>
      </c>
      <c r="C314" s="26" t="str">
        <f aca="false">Data!S314</f>
        <v>Alice</v>
      </c>
      <c r="D314" s="26" t="n">
        <f aca="false">Data!U314</f>
        <v>1071</v>
      </c>
      <c r="E314" s="35" t="n">
        <f aca="false">Data!V314</f>
        <v>43026</v>
      </c>
    </row>
    <row r="315" customFormat="false" ht="14.25" hidden="false" customHeight="false" outlineLevel="0" collapsed="false">
      <c r="A315" s="34" t="n">
        <f aca="false">A314+1</f>
        <v>311</v>
      </c>
      <c r="B315" s="26" t="str">
        <f aca="false">Data!R315</f>
        <v>Music</v>
      </c>
      <c r="C315" s="26" t="str">
        <f aca="false">Data!S315</f>
        <v>David</v>
      </c>
      <c r="D315" s="26" t="n">
        <f aca="false">Data!U315</f>
        <v>0</v>
      </c>
      <c r="E315" s="35" t="n">
        <f aca="false">Data!V315</f>
        <v>43012</v>
      </c>
    </row>
    <row r="316" customFormat="false" ht="14.25" hidden="false" customHeight="false" outlineLevel="0" collapsed="false">
      <c r="A316" s="34" t="n">
        <f aca="false">A315+1</f>
        <v>312</v>
      </c>
      <c r="B316" s="26" t="str">
        <f aca="false">Data!R316</f>
        <v>Games</v>
      </c>
      <c r="C316" s="26" t="str">
        <f aca="false">Data!S316</f>
        <v>David</v>
      </c>
      <c r="D316" s="26" t="n">
        <f aca="false">Data!U316</f>
        <v>1870</v>
      </c>
      <c r="E316" s="35" t="n">
        <f aca="false">Data!V316</f>
        <v>43018</v>
      </c>
    </row>
    <row r="317" customFormat="false" ht="14.25" hidden="false" customHeight="false" outlineLevel="0" collapsed="false">
      <c r="A317" s="34" t="n">
        <f aca="false">A316+1</f>
        <v>313</v>
      </c>
      <c r="B317" s="26" t="str">
        <f aca="false">Data!R317</f>
        <v>Books</v>
      </c>
      <c r="C317" s="26" t="str">
        <f aca="false">Data!S317</f>
        <v>Barney</v>
      </c>
      <c r="D317" s="26" t="n">
        <f aca="false">Data!U317</f>
        <v>764</v>
      </c>
      <c r="E317" s="35" t="n">
        <f aca="false">Data!V317</f>
        <v>43037</v>
      </c>
    </row>
    <row r="318" customFormat="false" ht="14.25" hidden="false" customHeight="false" outlineLevel="0" collapsed="false">
      <c r="A318" s="34" t="n">
        <f aca="false">A317+1</f>
        <v>314</v>
      </c>
      <c r="B318" s="26" t="str">
        <f aca="false">Data!R318</f>
        <v>Clothing</v>
      </c>
      <c r="C318" s="26" t="str">
        <f aca="false">Data!S318</f>
        <v>David</v>
      </c>
      <c r="D318" s="26" t="n">
        <f aca="false">Data!U318</f>
        <v>1176</v>
      </c>
      <c r="E318" s="35" t="n">
        <f aca="false">Data!V318</f>
        <v>43031</v>
      </c>
    </row>
    <row r="319" customFormat="false" ht="14.25" hidden="false" customHeight="false" outlineLevel="0" collapsed="false">
      <c r="A319" s="34" t="n">
        <f aca="false">A318+1</f>
        <v>315</v>
      </c>
      <c r="B319" s="26" t="str">
        <f aca="false">Data!R319</f>
        <v>Clothing</v>
      </c>
      <c r="C319" s="26" t="str">
        <f aca="false">Data!S319</f>
        <v>Alice</v>
      </c>
      <c r="D319" s="26" t="n">
        <f aca="false">Data!U319</f>
        <v>681</v>
      </c>
      <c r="E319" s="35" t="n">
        <f aca="false">Data!V319</f>
        <v>43032</v>
      </c>
    </row>
    <row r="320" customFormat="false" ht="14.25" hidden="false" customHeight="false" outlineLevel="0" collapsed="false">
      <c r="A320" s="34" t="n">
        <f aca="false">A319+1</f>
        <v>316</v>
      </c>
      <c r="B320" s="26" t="str">
        <f aca="false">Data!R320</f>
        <v>Music</v>
      </c>
      <c r="C320" s="26" t="str">
        <f aca="false">Data!S320</f>
        <v>Barney</v>
      </c>
      <c r="D320" s="26" t="n">
        <f aca="false">Data!U320</f>
        <v>1500</v>
      </c>
      <c r="E320" s="35" t="n">
        <f aca="false">Data!V320</f>
        <v>43027</v>
      </c>
    </row>
    <row r="321" customFormat="false" ht="14.25" hidden="false" customHeight="false" outlineLevel="0" collapsed="false">
      <c r="A321" s="34" t="n">
        <f aca="false">A320+1</f>
        <v>317</v>
      </c>
      <c r="B321" s="26" t="str">
        <f aca="false">Data!R321</f>
        <v>Music</v>
      </c>
      <c r="C321" s="26" t="str">
        <f aca="false">Data!S321</f>
        <v>David</v>
      </c>
      <c r="D321" s="26" t="n">
        <f aca="false">Data!U321</f>
        <v>0</v>
      </c>
      <c r="E321" s="35" t="n">
        <f aca="false">Data!V321</f>
        <v>43037</v>
      </c>
    </row>
    <row r="322" customFormat="false" ht="14.25" hidden="false" customHeight="false" outlineLevel="0" collapsed="false">
      <c r="A322" s="34" t="n">
        <f aca="false">A321+1</f>
        <v>318</v>
      </c>
      <c r="B322" s="26" t="str">
        <f aca="false">Data!R322</f>
        <v>Music</v>
      </c>
      <c r="C322" s="26" t="str">
        <f aca="false">Data!S322</f>
        <v>Alice</v>
      </c>
      <c r="D322" s="26" t="n">
        <f aca="false">Data!U322</f>
        <v>0</v>
      </c>
      <c r="E322" s="35" t="n">
        <f aca="false">Data!V322</f>
        <v>43025</v>
      </c>
    </row>
    <row r="323" customFormat="false" ht="14.25" hidden="false" customHeight="false" outlineLevel="0" collapsed="false">
      <c r="A323" s="34" t="n">
        <f aca="false">A322+1</f>
        <v>319</v>
      </c>
      <c r="B323" s="26" t="str">
        <f aca="false">Data!R323</f>
        <v>Music</v>
      </c>
      <c r="C323" s="26" t="str">
        <f aca="false">Data!S323</f>
        <v>Carol</v>
      </c>
      <c r="D323" s="26" t="n">
        <f aca="false">Data!U323</f>
        <v>1428</v>
      </c>
      <c r="E323" s="35" t="n">
        <f aca="false">Data!V323</f>
        <v>43013</v>
      </c>
    </row>
    <row r="324" customFormat="false" ht="14.25" hidden="false" customHeight="false" outlineLevel="0" collapsed="false">
      <c r="A324" s="34" t="n">
        <f aca="false">A323+1</f>
        <v>320</v>
      </c>
      <c r="B324" s="26" t="str">
        <f aca="false">Data!R324</f>
        <v>Music</v>
      </c>
      <c r="C324" s="26" t="str">
        <f aca="false">Data!S324</f>
        <v>Carol</v>
      </c>
      <c r="D324" s="26" t="n">
        <f aca="false">Data!U324</f>
        <v>968</v>
      </c>
      <c r="E324" s="35" t="n">
        <f aca="false">Data!V324</f>
        <v>43031</v>
      </c>
    </row>
    <row r="325" customFormat="false" ht="14.25" hidden="false" customHeight="false" outlineLevel="0" collapsed="false">
      <c r="A325" s="34" t="n">
        <f aca="false">A324+1</f>
        <v>321</v>
      </c>
      <c r="B325" s="26" t="str">
        <f aca="false">Data!R325</f>
        <v>Games</v>
      </c>
      <c r="C325" s="26" t="str">
        <f aca="false">Data!S325</f>
        <v>Alice</v>
      </c>
      <c r="D325" s="26" t="n">
        <f aca="false">Data!U325</f>
        <v>0</v>
      </c>
      <c r="E325" s="35" t="n">
        <f aca="false">Data!V325</f>
        <v>43034</v>
      </c>
    </row>
    <row r="326" customFormat="false" ht="14.25" hidden="false" customHeight="false" outlineLevel="0" collapsed="false">
      <c r="A326" s="34" t="n">
        <f aca="false">A325+1</f>
        <v>322</v>
      </c>
      <c r="B326" s="26" t="str">
        <f aca="false">Data!R326</f>
        <v>Games</v>
      </c>
      <c r="C326" s="26" t="str">
        <f aca="false">Data!S326</f>
        <v>Barney</v>
      </c>
      <c r="D326" s="26" t="n">
        <f aca="false">Data!U326</f>
        <v>1522</v>
      </c>
      <c r="E326" s="35" t="n">
        <f aca="false">Data!V326</f>
        <v>43024</v>
      </c>
    </row>
    <row r="327" customFormat="false" ht="14.25" hidden="false" customHeight="false" outlineLevel="0" collapsed="false">
      <c r="A327" s="34" t="n">
        <f aca="false">A326+1</f>
        <v>323</v>
      </c>
      <c r="B327" s="26" t="str">
        <f aca="false">Data!R327</f>
        <v>Music</v>
      </c>
      <c r="C327" s="26" t="str">
        <f aca="false">Data!S327</f>
        <v>Carol</v>
      </c>
      <c r="D327" s="26" t="n">
        <f aca="false">Data!U327</f>
        <v>0</v>
      </c>
      <c r="E327" s="35" t="n">
        <f aca="false">Data!V327</f>
        <v>43027</v>
      </c>
    </row>
    <row r="328" customFormat="false" ht="14.25" hidden="false" customHeight="false" outlineLevel="0" collapsed="false">
      <c r="A328" s="34" t="n">
        <f aca="false">A327+1</f>
        <v>324</v>
      </c>
      <c r="B328" s="26" t="str">
        <f aca="false">Data!R328</f>
        <v>Books</v>
      </c>
      <c r="C328" s="26" t="str">
        <f aca="false">Data!S328</f>
        <v>Carol</v>
      </c>
      <c r="D328" s="26" t="n">
        <f aca="false">Data!U328</f>
        <v>900</v>
      </c>
      <c r="E328" s="35" t="n">
        <f aca="false">Data!V328</f>
        <v>43039</v>
      </c>
    </row>
    <row r="329" customFormat="false" ht="14.25" hidden="false" customHeight="false" outlineLevel="0" collapsed="false">
      <c r="A329" s="34" t="n">
        <f aca="false">A328+1</f>
        <v>325</v>
      </c>
      <c r="B329" s="26" t="str">
        <f aca="false">Data!R329</f>
        <v>Music</v>
      </c>
      <c r="C329" s="26" t="str">
        <f aca="false">Data!S329</f>
        <v>Alice</v>
      </c>
      <c r="D329" s="26" t="n">
        <f aca="false">Data!U329</f>
        <v>0</v>
      </c>
      <c r="E329" s="35" t="n">
        <f aca="false">Data!V329</f>
        <v>43036</v>
      </c>
    </row>
    <row r="330" customFormat="false" ht="14.25" hidden="false" customHeight="false" outlineLevel="0" collapsed="false">
      <c r="A330" s="34" t="n">
        <f aca="false">A329+1</f>
        <v>326</v>
      </c>
      <c r="B330" s="26" t="str">
        <f aca="false">Data!R330</f>
        <v>Books</v>
      </c>
      <c r="C330" s="26" t="str">
        <f aca="false">Data!S330</f>
        <v>David</v>
      </c>
      <c r="D330" s="26" t="n">
        <f aca="false">Data!U330</f>
        <v>978</v>
      </c>
      <c r="E330" s="35" t="n">
        <f aca="false">Data!V330</f>
        <v>43015</v>
      </c>
    </row>
    <row r="331" customFormat="false" ht="14.25" hidden="false" customHeight="false" outlineLevel="0" collapsed="false">
      <c r="A331" s="34" t="n">
        <f aca="false">A330+1</f>
        <v>327</v>
      </c>
      <c r="B331" s="26" t="str">
        <f aca="false">Data!R331</f>
        <v>Clothing</v>
      </c>
      <c r="C331" s="26" t="str">
        <f aca="false">Data!S331</f>
        <v>Alice</v>
      </c>
      <c r="D331" s="26" t="n">
        <f aca="false">Data!U331</f>
        <v>680</v>
      </c>
      <c r="E331" s="35" t="n">
        <f aca="false">Data!V331</f>
        <v>43014</v>
      </c>
    </row>
    <row r="332" customFormat="false" ht="14.25" hidden="false" customHeight="false" outlineLevel="0" collapsed="false">
      <c r="A332" s="34" t="n">
        <f aca="false">A331+1</f>
        <v>328</v>
      </c>
      <c r="B332" s="26" t="str">
        <f aca="false">Data!R332</f>
        <v>Games</v>
      </c>
      <c r="C332" s="26" t="str">
        <f aca="false">Data!S332</f>
        <v>Barney</v>
      </c>
      <c r="D332" s="26" t="n">
        <f aca="false">Data!U332</f>
        <v>1489</v>
      </c>
      <c r="E332" s="35" t="n">
        <f aca="false">Data!V332</f>
        <v>43025</v>
      </c>
    </row>
    <row r="333" customFormat="false" ht="14.25" hidden="false" customHeight="false" outlineLevel="0" collapsed="false">
      <c r="A333" s="34" t="n">
        <f aca="false">A332+1</f>
        <v>329</v>
      </c>
      <c r="B333" s="26" t="str">
        <f aca="false">Data!R333</f>
        <v>Games</v>
      </c>
      <c r="C333" s="26" t="str">
        <f aca="false">Data!S333</f>
        <v>Barney</v>
      </c>
      <c r="D333" s="26" t="n">
        <f aca="false">Data!U333</f>
        <v>0</v>
      </c>
      <c r="E333" s="35" t="n">
        <f aca="false">Data!V333</f>
        <v>43038</v>
      </c>
    </row>
    <row r="334" customFormat="false" ht="14.25" hidden="false" customHeight="false" outlineLevel="0" collapsed="false">
      <c r="A334" s="34" t="n">
        <f aca="false">A333+1</f>
        <v>330</v>
      </c>
      <c r="B334" s="26" t="str">
        <f aca="false">Data!R334</f>
        <v>Books</v>
      </c>
      <c r="C334" s="26" t="str">
        <f aca="false">Data!S334</f>
        <v>Alice</v>
      </c>
      <c r="D334" s="26" t="n">
        <f aca="false">Data!U334</f>
        <v>0</v>
      </c>
      <c r="E334" s="35" t="n">
        <f aca="false">Data!V334</f>
        <v>43031</v>
      </c>
    </row>
    <row r="335" customFormat="false" ht="14.25" hidden="false" customHeight="false" outlineLevel="0" collapsed="false">
      <c r="A335" s="34" t="n">
        <f aca="false">A334+1</f>
        <v>331</v>
      </c>
      <c r="B335" s="26" t="str">
        <f aca="false">Data!R335</f>
        <v>Clothing</v>
      </c>
      <c r="C335" s="26" t="str">
        <f aca="false">Data!S335</f>
        <v>David</v>
      </c>
      <c r="D335" s="26" t="n">
        <f aca="false">Data!U335</f>
        <v>0</v>
      </c>
      <c r="E335" s="35" t="n">
        <f aca="false">Data!V335</f>
        <v>43013</v>
      </c>
    </row>
    <row r="336" customFormat="false" ht="14.25" hidden="false" customHeight="false" outlineLevel="0" collapsed="false">
      <c r="A336" s="34" t="n">
        <f aca="false">A335+1</f>
        <v>332</v>
      </c>
      <c r="B336" s="26" t="str">
        <f aca="false">Data!R336</f>
        <v>Books</v>
      </c>
      <c r="C336" s="26" t="str">
        <f aca="false">Data!S336</f>
        <v>Alice</v>
      </c>
      <c r="D336" s="26" t="n">
        <f aca="false">Data!U336</f>
        <v>508</v>
      </c>
      <c r="E336" s="35" t="n">
        <f aca="false">Data!V336</f>
        <v>43013</v>
      </c>
    </row>
    <row r="337" customFormat="false" ht="14.25" hidden="false" customHeight="false" outlineLevel="0" collapsed="false">
      <c r="A337" s="34" t="n">
        <f aca="false">A336+1</f>
        <v>333</v>
      </c>
      <c r="B337" s="26" t="str">
        <f aca="false">Data!R337</f>
        <v>Clothing</v>
      </c>
      <c r="C337" s="26" t="str">
        <f aca="false">Data!S337</f>
        <v>Barney</v>
      </c>
      <c r="D337" s="26" t="n">
        <f aca="false">Data!U337</f>
        <v>1793</v>
      </c>
      <c r="E337" s="35" t="n">
        <f aca="false">Data!V337</f>
        <v>43034</v>
      </c>
    </row>
    <row r="338" customFormat="false" ht="14.25" hidden="false" customHeight="false" outlineLevel="0" collapsed="false">
      <c r="A338" s="34" t="n">
        <f aca="false">A337+1</f>
        <v>334</v>
      </c>
      <c r="B338" s="26" t="str">
        <f aca="false">Data!R338</f>
        <v>Books</v>
      </c>
      <c r="C338" s="26" t="str">
        <f aca="false">Data!S338</f>
        <v>Barney</v>
      </c>
      <c r="D338" s="26" t="n">
        <f aca="false">Data!U338</f>
        <v>765</v>
      </c>
      <c r="E338" s="35" t="n">
        <f aca="false">Data!V338</f>
        <v>43015</v>
      </c>
    </row>
    <row r="339" customFormat="false" ht="14.25" hidden="false" customHeight="false" outlineLevel="0" collapsed="false">
      <c r="A339" s="34" t="n">
        <f aca="false">A338+1</f>
        <v>335</v>
      </c>
      <c r="B339" s="26" t="str">
        <f aca="false">Data!R339</f>
        <v>Clothing</v>
      </c>
      <c r="C339" s="26" t="str">
        <f aca="false">Data!S339</f>
        <v>Alice</v>
      </c>
      <c r="D339" s="26" t="n">
        <f aca="false">Data!U339</f>
        <v>1099</v>
      </c>
      <c r="E339" s="35" t="n">
        <f aca="false">Data!V339</f>
        <v>43031</v>
      </c>
    </row>
    <row r="340" customFormat="false" ht="14.25" hidden="false" customHeight="false" outlineLevel="0" collapsed="false">
      <c r="A340" s="34" t="n">
        <f aca="false">A339+1</f>
        <v>336</v>
      </c>
      <c r="B340" s="26" t="str">
        <f aca="false">Data!R340</f>
        <v>Clothing</v>
      </c>
      <c r="C340" s="26" t="str">
        <f aca="false">Data!S340</f>
        <v>David</v>
      </c>
      <c r="D340" s="26" t="n">
        <f aca="false">Data!U340</f>
        <v>610</v>
      </c>
      <c r="E340" s="35" t="n">
        <f aca="false">Data!V340</f>
        <v>43009</v>
      </c>
    </row>
    <row r="341" customFormat="false" ht="14.25" hidden="false" customHeight="false" outlineLevel="0" collapsed="false">
      <c r="A341" s="34" t="n">
        <f aca="false">A340+1</f>
        <v>337</v>
      </c>
      <c r="B341" s="26" t="str">
        <f aca="false">Data!R341</f>
        <v>Music</v>
      </c>
      <c r="C341" s="26" t="str">
        <f aca="false">Data!S341</f>
        <v>Barney</v>
      </c>
      <c r="D341" s="26" t="n">
        <f aca="false">Data!U341</f>
        <v>1157</v>
      </c>
      <c r="E341" s="35" t="n">
        <f aca="false">Data!V341</f>
        <v>43032</v>
      </c>
    </row>
    <row r="342" customFormat="false" ht="14.25" hidden="false" customHeight="false" outlineLevel="0" collapsed="false">
      <c r="A342" s="34" t="n">
        <f aca="false">A341+1</f>
        <v>338</v>
      </c>
      <c r="B342" s="26" t="str">
        <f aca="false">Data!R342</f>
        <v>Clothing</v>
      </c>
      <c r="C342" s="26" t="str">
        <f aca="false">Data!S342</f>
        <v>Barney</v>
      </c>
      <c r="D342" s="26" t="n">
        <f aca="false">Data!U342</f>
        <v>845</v>
      </c>
      <c r="E342" s="35" t="n">
        <f aca="false">Data!V342</f>
        <v>43030</v>
      </c>
    </row>
    <row r="343" customFormat="false" ht="14.25" hidden="false" customHeight="false" outlineLevel="0" collapsed="false">
      <c r="A343" s="34" t="n">
        <f aca="false">A342+1</f>
        <v>339</v>
      </c>
      <c r="B343" s="26" t="str">
        <f aca="false">Data!R343</f>
        <v>Games</v>
      </c>
      <c r="C343" s="26" t="str">
        <f aca="false">Data!S343</f>
        <v>Barney</v>
      </c>
      <c r="D343" s="26" t="n">
        <f aca="false">Data!U343</f>
        <v>1381</v>
      </c>
      <c r="E343" s="35" t="n">
        <f aca="false">Data!V343</f>
        <v>43039</v>
      </c>
    </row>
    <row r="344" customFormat="false" ht="14.25" hidden="false" customHeight="false" outlineLevel="0" collapsed="false">
      <c r="A344" s="34" t="n">
        <f aca="false">A343+1</f>
        <v>340</v>
      </c>
      <c r="B344" s="26" t="str">
        <f aca="false">Data!R344</f>
        <v>Games</v>
      </c>
      <c r="C344" s="26" t="str">
        <f aca="false">Data!S344</f>
        <v>David</v>
      </c>
      <c r="D344" s="26" t="n">
        <f aca="false">Data!U344</f>
        <v>1960</v>
      </c>
      <c r="E344" s="35" t="n">
        <f aca="false">Data!V344</f>
        <v>43017</v>
      </c>
    </row>
    <row r="345" customFormat="false" ht="14.25" hidden="false" customHeight="false" outlineLevel="0" collapsed="false">
      <c r="A345" s="34" t="n">
        <f aca="false">A344+1</f>
        <v>341</v>
      </c>
      <c r="B345" s="26" t="str">
        <f aca="false">Data!R345</f>
        <v>Games</v>
      </c>
      <c r="C345" s="26" t="str">
        <f aca="false">Data!S345</f>
        <v>Barney</v>
      </c>
      <c r="D345" s="26" t="n">
        <f aca="false">Data!U345</f>
        <v>1957</v>
      </c>
      <c r="E345" s="35" t="n">
        <f aca="false">Data!V345</f>
        <v>43011</v>
      </c>
    </row>
    <row r="346" customFormat="false" ht="14.25" hidden="false" customHeight="false" outlineLevel="0" collapsed="false">
      <c r="A346" s="34" t="n">
        <f aca="false">A345+1</f>
        <v>342</v>
      </c>
      <c r="B346" s="26" t="str">
        <f aca="false">Data!R346</f>
        <v>Music</v>
      </c>
      <c r="C346" s="26" t="str">
        <f aca="false">Data!S346</f>
        <v>David</v>
      </c>
      <c r="D346" s="26" t="n">
        <f aca="false">Data!U346</f>
        <v>1247</v>
      </c>
      <c r="E346" s="35" t="n">
        <f aca="false">Data!V346</f>
        <v>43039</v>
      </c>
    </row>
    <row r="347" customFormat="false" ht="14.25" hidden="false" customHeight="false" outlineLevel="0" collapsed="false">
      <c r="A347" s="34" t="n">
        <f aca="false">A346+1</f>
        <v>343</v>
      </c>
      <c r="B347" s="26" t="str">
        <f aca="false">Data!R347</f>
        <v>Games</v>
      </c>
      <c r="C347" s="26" t="str">
        <f aca="false">Data!S347</f>
        <v>Barney</v>
      </c>
      <c r="D347" s="26" t="n">
        <f aca="false">Data!U347</f>
        <v>1478</v>
      </c>
      <c r="E347" s="35" t="n">
        <f aca="false">Data!V347</f>
        <v>43016</v>
      </c>
    </row>
    <row r="348" customFormat="false" ht="14.25" hidden="false" customHeight="false" outlineLevel="0" collapsed="false">
      <c r="A348" s="34" t="n">
        <f aca="false">A347+1</f>
        <v>344</v>
      </c>
      <c r="B348" s="26" t="str">
        <f aca="false">Data!R348</f>
        <v>Games</v>
      </c>
      <c r="C348" s="26" t="str">
        <f aca="false">Data!S348</f>
        <v>Alice</v>
      </c>
      <c r="D348" s="26" t="n">
        <f aca="false">Data!U348</f>
        <v>0</v>
      </c>
      <c r="E348" s="35" t="n">
        <f aca="false">Data!V348</f>
        <v>43017</v>
      </c>
    </row>
    <row r="349" customFormat="false" ht="14.25" hidden="false" customHeight="false" outlineLevel="0" collapsed="false">
      <c r="A349" s="34" t="n">
        <f aca="false">A348+1</f>
        <v>345</v>
      </c>
      <c r="B349" s="26" t="str">
        <f aca="false">Data!R349</f>
        <v>Music</v>
      </c>
      <c r="C349" s="26" t="str">
        <f aca="false">Data!S349</f>
        <v>Carol</v>
      </c>
      <c r="D349" s="26" t="n">
        <f aca="false">Data!U349</f>
        <v>1137</v>
      </c>
      <c r="E349" s="35" t="n">
        <f aca="false">Data!V349</f>
        <v>43036</v>
      </c>
    </row>
    <row r="350" customFormat="false" ht="14.25" hidden="false" customHeight="false" outlineLevel="0" collapsed="false">
      <c r="A350" s="34" t="n">
        <f aca="false">A349+1</f>
        <v>346</v>
      </c>
      <c r="B350" s="26" t="str">
        <f aca="false">Data!R350</f>
        <v>Clothing</v>
      </c>
      <c r="C350" s="26" t="str">
        <f aca="false">Data!S350</f>
        <v>Carol</v>
      </c>
      <c r="D350" s="26" t="n">
        <f aca="false">Data!U350</f>
        <v>0</v>
      </c>
      <c r="E350" s="35" t="n">
        <f aca="false">Data!V350</f>
        <v>43014</v>
      </c>
    </row>
    <row r="351" customFormat="false" ht="14.25" hidden="false" customHeight="false" outlineLevel="0" collapsed="false">
      <c r="A351" s="34" t="n">
        <f aca="false">A350+1</f>
        <v>347</v>
      </c>
      <c r="B351" s="26" t="str">
        <f aca="false">Data!R351</f>
        <v>Music</v>
      </c>
      <c r="C351" s="26" t="str">
        <f aca="false">Data!S351</f>
        <v>Carol</v>
      </c>
      <c r="D351" s="26" t="n">
        <f aca="false">Data!U351</f>
        <v>1223</v>
      </c>
      <c r="E351" s="35" t="n">
        <f aca="false">Data!V351</f>
        <v>43025</v>
      </c>
    </row>
    <row r="352" customFormat="false" ht="14.25" hidden="false" customHeight="false" outlineLevel="0" collapsed="false">
      <c r="A352" s="34" t="n">
        <f aca="false">A351+1</f>
        <v>348</v>
      </c>
      <c r="B352" s="26" t="str">
        <f aca="false">Data!R352</f>
        <v>Clothing</v>
      </c>
      <c r="C352" s="26" t="str">
        <f aca="false">Data!S352</f>
        <v>Barney</v>
      </c>
      <c r="D352" s="26" t="n">
        <f aca="false">Data!U352</f>
        <v>732</v>
      </c>
      <c r="E352" s="35" t="n">
        <f aca="false">Data!V352</f>
        <v>43009</v>
      </c>
    </row>
    <row r="353" customFormat="false" ht="14.25" hidden="false" customHeight="false" outlineLevel="0" collapsed="false">
      <c r="A353" s="34" t="n">
        <f aca="false">A352+1</f>
        <v>349</v>
      </c>
      <c r="B353" s="26" t="str">
        <f aca="false">Data!R353</f>
        <v>Clothing</v>
      </c>
      <c r="C353" s="26" t="str">
        <f aca="false">Data!S353</f>
        <v>Carol</v>
      </c>
      <c r="D353" s="26" t="n">
        <f aca="false">Data!U353</f>
        <v>0</v>
      </c>
      <c r="E353" s="35" t="n">
        <f aca="false">Data!V353</f>
        <v>43028</v>
      </c>
    </row>
    <row r="354" customFormat="false" ht="14.25" hidden="false" customHeight="false" outlineLevel="0" collapsed="false">
      <c r="A354" s="34" t="n">
        <f aca="false">A353+1</f>
        <v>350</v>
      </c>
      <c r="B354" s="26" t="str">
        <f aca="false">Data!R354</f>
        <v>Books</v>
      </c>
      <c r="C354" s="26" t="str">
        <f aca="false">Data!S354</f>
        <v>Carol</v>
      </c>
      <c r="D354" s="26" t="n">
        <f aca="false">Data!U354</f>
        <v>619</v>
      </c>
      <c r="E354" s="35" t="n">
        <f aca="false">Data!V354</f>
        <v>43013</v>
      </c>
    </row>
    <row r="355" customFormat="false" ht="14.25" hidden="false" customHeight="false" outlineLevel="0" collapsed="false">
      <c r="A355" s="34" t="n">
        <f aca="false">A354+1</f>
        <v>351</v>
      </c>
      <c r="B355" s="26" t="str">
        <f aca="false">Data!R355</f>
        <v>Clothing</v>
      </c>
      <c r="C355" s="26" t="str">
        <f aca="false">Data!S355</f>
        <v>Alice</v>
      </c>
      <c r="D355" s="26" t="n">
        <f aca="false">Data!U355</f>
        <v>877</v>
      </c>
      <c r="E355" s="35" t="n">
        <f aca="false">Data!V355</f>
        <v>43027</v>
      </c>
    </row>
    <row r="356" customFormat="false" ht="14.25" hidden="false" customHeight="false" outlineLevel="0" collapsed="false">
      <c r="A356" s="34" t="n">
        <f aca="false">A355+1</f>
        <v>352</v>
      </c>
      <c r="B356" s="26" t="str">
        <f aca="false">Data!R356</f>
        <v>Books</v>
      </c>
      <c r="C356" s="26" t="str">
        <f aca="false">Data!S356</f>
        <v>David</v>
      </c>
      <c r="D356" s="26" t="n">
        <f aca="false">Data!U356</f>
        <v>629</v>
      </c>
      <c r="E356" s="35" t="n">
        <f aca="false">Data!V356</f>
        <v>43039</v>
      </c>
    </row>
    <row r="357" customFormat="false" ht="14.25" hidden="false" customHeight="false" outlineLevel="0" collapsed="false">
      <c r="A357" s="34" t="n">
        <f aca="false">A356+1</f>
        <v>353</v>
      </c>
      <c r="B357" s="26" t="str">
        <f aca="false">Data!R357</f>
        <v>Clothing</v>
      </c>
      <c r="C357" s="26" t="str">
        <f aca="false">Data!S357</f>
        <v>Carol</v>
      </c>
      <c r="D357" s="26" t="n">
        <f aca="false">Data!U357</f>
        <v>1069</v>
      </c>
      <c r="E357" s="35" t="n">
        <f aca="false">Data!V357</f>
        <v>43011</v>
      </c>
    </row>
    <row r="358" customFormat="false" ht="14.25" hidden="false" customHeight="false" outlineLevel="0" collapsed="false">
      <c r="A358" s="34" t="n">
        <f aca="false">A357+1</f>
        <v>354</v>
      </c>
      <c r="B358" s="26" t="str">
        <f aca="false">Data!R358</f>
        <v>Music</v>
      </c>
      <c r="C358" s="26" t="str">
        <f aca="false">Data!S358</f>
        <v>Alice</v>
      </c>
      <c r="D358" s="26" t="n">
        <f aca="false">Data!U358</f>
        <v>1348</v>
      </c>
      <c r="E358" s="35" t="n">
        <f aca="false">Data!V358</f>
        <v>43030</v>
      </c>
    </row>
    <row r="359" customFormat="false" ht="14.25" hidden="false" customHeight="false" outlineLevel="0" collapsed="false">
      <c r="A359" s="34" t="n">
        <f aca="false">A358+1</f>
        <v>355</v>
      </c>
      <c r="B359" s="26" t="str">
        <f aca="false">Data!R359</f>
        <v>Clothing</v>
      </c>
      <c r="C359" s="26" t="str">
        <f aca="false">Data!S359</f>
        <v>David</v>
      </c>
      <c r="D359" s="26" t="n">
        <f aca="false">Data!U359</f>
        <v>1475</v>
      </c>
      <c r="E359" s="35" t="n">
        <f aca="false">Data!V359</f>
        <v>43025</v>
      </c>
    </row>
    <row r="360" customFormat="false" ht="14.25" hidden="false" customHeight="false" outlineLevel="0" collapsed="false">
      <c r="A360" s="34" t="n">
        <f aca="false">A359+1</f>
        <v>356</v>
      </c>
      <c r="B360" s="26" t="str">
        <f aca="false">Data!R360</f>
        <v>Music</v>
      </c>
      <c r="C360" s="26" t="str">
        <f aca="false">Data!S360</f>
        <v>Carol</v>
      </c>
      <c r="D360" s="26" t="n">
        <f aca="false">Data!U360</f>
        <v>0</v>
      </c>
      <c r="E360" s="35" t="n">
        <f aca="false">Data!V360</f>
        <v>43029</v>
      </c>
    </row>
    <row r="361" customFormat="false" ht="14.25" hidden="false" customHeight="false" outlineLevel="0" collapsed="false">
      <c r="A361" s="34" t="n">
        <f aca="false">A360+1</f>
        <v>357</v>
      </c>
      <c r="B361" s="26" t="str">
        <f aca="false">Data!R361</f>
        <v>Games</v>
      </c>
      <c r="C361" s="26" t="str">
        <f aca="false">Data!S361</f>
        <v>Alice</v>
      </c>
      <c r="D361" s="26" t="n">
        <f aca="false">Data!U361</f>
        <v>2209</v>
      </c>
      <c r="E361" s="35" t="n">
        <f aca="false">Data!V361</f>
        <v>43022</v>
      </c>
    </row>
    <row r="362" customFormat="false" ht="14.25" hidden="false" customHeight="false" outlineLevel="0" collapsed="false">
      <c r="A362" s="34" t="n">
        <f aca="false">A361+1</f>
        <v>358</v>
      </c>
      <c r="B362" s="26" t="str">
        <f aca="false">Data!R362</f>
        <v>Games</v>
      </c>
      <c r="C362" s="26" t="str">
        <f aca="false">Data!S362</f>
        <v>David</v>
      </c>
      <c r="D362" s="26" t="n">
        <f aca="false">Data!U362</f>
        <v>0</v>
      </c>
      <c r="E362" s="35" t="n">
        <f aca="false">Data!V362</f>
        <v>43032</v>
      </c>
    </row>
    <row r="363" customFormat="false" ht="14.25" hidden="false" customHeight="false" outlineLevel="0" collapsed="false">
      <c r="A363" s="34" t="n">
        <f aca="false">A362+1</f>
        <v>359</v>
      </c>
      <c r="B363" s="26" t="str">
        <f aca="false">Data!R363</f>
        <v>Games</v>
      </c>
      <c r="C363" s="26" t="str">
        <f aca="false">Data!S363</f>
        <v>Barney</v>
      </c>
      <c r="D363" s="26" t="n">
        <f aca="false">Data!U363</f>
        <v>0</v>
      </c>
      <c r="E363" s="35" t="n">
        <f aca="false">Data!V363</f>
        <v>43027</v>
      </c>
    </row>
    <row r="364" customFormat="false" ht="14.25" hidden="false" customHeight="false" outlineLevel="0" collapsed="false">
      <c r="A364" s="34" t="n">
        <f aca="false">A363+1</f>
        <v>360</v>
      </c>
      <c r="B364" s="26" t="str">
        <f aca="false">Data!R364</f>
        <v>Games</v>
      </c>
      <c r="C364" s="26" t="str">
        <f aca="false">Data!S364</f>
        <v>Carol</v>
      </c>
      <c r="D364" s="26" t="n">
        <f aca="false">Data!U364</f>
        <v>1733</v>
      </c>
      <c r="E364" s="35" t="n">
        <f aca="false">Data!V364</f>
        <v>43014</v>
      </c>
    </row>
    <row r="365" customFormat="false" ht="14.25" hidden="false" customHeight="false" outlineLevel="0" collapsed="false">
      <c r="A365" s="34" t="n">
        <f aca="false">A364+1</f>
        <v>361</v>
      </c>
      <c r="B365" s="26" t="str">
        <f aca="false">Data!R365</f>
        <v>Games</v>
      </c>
      <c r="C365" s="26" t="str">
        <f aca="false">Data!S365</f>
        <v>David</v>
      </c>
      <c r="D365" s="26" t="n">
        <f aca="false">Data!U365</f>
        <v>1878</v>
      </c>
      <c r="E365" s="35" t="n">
        <f aca="false">Data!V365</f>
        <v>43013</v>
      </c>
    </row>
    <row r="366" customFormat="false" ht="14.25" hidden="false" customHeight="false" outlineLevel="0" collapsed="false">
      <c r="A366" s="34" t="n">
        <f aca="false">A365+1</f>
        <v>362</v>
      </c>
      <c r="B366" s="26" t="str">
        <f aca="false">Data!R366</f>
        <v>Clothing</v>
      </c>
      <c r="C366" s="26" t="str">
        <f aca="false">Data!S366</f>
        <v>Barney</v>
      </c>
      <c r="D366" s="26" t="n">
        <f aca="false">Data!U366</f>
        <v>925</v>
      </c>
      <c r="E366" s="35" t="n">
        <f aca="false">Data!V366</f>
        <v>43020</v>
      </c>
    </row>
    <row r="367" customFormat="false" ht="14.25" hidden="false" customHeight="false" outlineLevel="0" collapsed="false">
      <c r="A367" s="34" t="n">
        <f aca="false">A366+1</f>
        <v>363</v>
      </c>
      <c r="B367" s="26" t="str">
        <f aca="false">Data!R367</f>
        <v>Books</v>
      </c>
      <c r="C367" s="26" t="str">
        <f aca="false">Data!S367</f>
        <v>Barney</v>
      </c>
      <c r="D367" s="26" t="n">
        <f aca="false">Data!U367</f>
        <v>686</v>
      </c>
      <c r="E367" s="35" t="n">
        <f aca="false">Data!V367</f>
        <v>43009</v>
      </c>
    </row>
    <row r="368" customFormat="false" ht="14.25" hidden="false" customHeight="false" outlineLevel="0" collapsed="false">
      <c r="A368" s="34" t="n">
        <f aca="false">A367+1</f>
        <v>364</v>
      </c>
      <c r="B368" s="26" t="str">
        <f aca="false">Data!R368</f>
        <v>Clothing</v>
      </c>
      <c r="C368" s="26" t="str">
        <f aca="false">Data!S368</f>
        <v>David</v>
      </c>
      <c r="D368" s="26" t="n">
        <f aca="false">Data!U368</f>
        <v>1703</v>
      </c>
      <c r="E368" s="35" t="n">
        <f aca="false">Data!V368</f>
        <v>43017</v>
      </c>
    </row>
    <row r="369" customFormat="false" ht="14.25" hidden="false" customHeight="false" outlineLevel="0" collapsed="false">
      <c r="A369" s="34" t="n">
        <f aca="false">A368+1</f>
        <v>365</v>
      </c>
      <c r="B369" s="26" t="str">
        <f aca="false">Data!R369</f>
        <v>Music</v>
      </c>
      <c r="C369" s="26" t="str">
        <f aca="false">Data!S369</f>
        <v>David</v>
      </c>
      <c r="D369" s="26" t="n">
        <f aca="false">Data!U369</f>
        <v>1038</v>
      </c>
      <c r="E369" s="35" t="n">
        <f aca="false">Data!V369</f>
        <v>43029</v>
      </c>
    </row>
    <row r="370" customFormat="false" ht="14.25" hidden="false" customHeight="false" outlineLevel="0" collapsed="false">
      <c r="A370" s="34" t="n">
        <f aca="false">A369+1</f>
        <v>366</v>
      </c>
      <c r="B370" s="26" t="str">
        <f aca="false">Data!R370</f>
        <v>Games</v>
      </c>
      <c r="C370" s="26" t="str">
        <f aca="false">Data!S370</f>
        <v>David</v>
      </c>
      <c r="D370" s="26" t="n">
        <f aca="false">Data!U370</f>
        <v>1573</v>
      </c>
      <c r="E370" s="35" t="n">
        <f aca="false">Data!V370</f>
        <v>43021</v>
      </c>
    </row>
    <row r="371" customFormat="false" ht="14.25" hidden="false" customHeight="false" outlineLevel="0" collapsed="false">
      <c r="A371" s="34" t="n">
        <f aca="false">A370+1</f>
        <v>367</v>
      </c>
      <c r="B371" s="26" t="str">
        <f aca="false">Data!R371</f>
        <v>Games</v>
      </c>
      <c r="C371" s="26" t="str">
        <f aca="false">Data!S371</f>
        <v>Alice</v>
      </c>
      <c r="D371" s="26" t="n">
        <f aca="false">Data!U371</f>
        <v>1364</v>
      </c>
      <c r="E371" s="35" t="n">
        <f aca="false">Data!V371</f>
        <v>43039</v>
      </c>
    </row>
    <row r="372" customFormat="false" ht="14.25" hidden="false" customHeight="false" outlineLevel="0" collapsed="false">
      <c r="A372" s="34" t="n">
        <f aca="false">A371+1</f>
        <v>368</v>
      </c>
      <c r="B372" s="26" t="str">
        <f aca="false">Data!R372</f>
        <v>Clothing</v>
      </c>
      <c r="C372" s="26" t="str">
        <f aca="false">Data!S372</f>
        <v>David</v>
      </c>
      <c r="D372" s="26" t="n">
        <f aca="false">Data!U372</f>
        <v>1281</v>
      </c>
      <c r="E372" s="35" t="n">
        <f aca="false">Data!V372</f>
        <v>43023</v>
      </c>
    </row>
    <row r="373" customFormat="false" ht="14.25" hidden="false" customHeight="false" outlineLevel="0" collapsed="false">
      <c r="A373" s="34" t="n">
        <f aca="false">A372+1</f>
        <v>369</v>
      </c>
      <c r="B373" s="26" t="str">
        <f aca="false">Data!R373</f>
        <v>Books</v>
      </c>
      <c r="C373" s="26" t="str">
        <f aca="false">Data!S373</f>
        <v>David</v>
      </c>
      <c r="D373" s="26" t="n">
        <f aca="false">Data!U373</f>
        <v>996</v>
      </c>
      <c r="E373" s="35" t="n">
        <f aca="false">Data!V373</f>
        <v>43030</v>
      </c>
    </row>
    <row r="374" customFormat="false" ht="14.25" hidden="false" customHeight="false" outlineLevel="0" collapsed="false">
      <c r="A374" s="34" t="n">
        <f aca="false">A373+1</f>
        <v>370</v>
      </c>
      <c r="B374" s="26" t="str">
        <f aca="false">Data!R374</f>
        <v>Music</v>
      </c>
      <c r="C374" s="26" t="str">
        <f aca="false">Data!S374</f>
        <v>Alice</v>
      </c>
      <c r="D374" s="26" t="n">
        <f aca="false">Data!U374</f>
        <v>0</v>
      </c>
      <c r="E374" s="35" t="n">
        <f aca="false">Data!V374</f>
        <v>43016</v>
      </c>
    </row>
    <row r="375" customFormat="false" ht="14.25" hidden="false" customHeight="false" outlineLevel="0" collapsed="false">
      <c r="A375" s="34" t="n">
        <f aca="false">A374+1</f>
        <v>371</v>
      </c>
      <c r="B375" s="26" t="str">
        <f aca="false">Data!R375</f>
        <v>Books</v>
      </c>
      <c r="C375" s="26" t="str">
        <f aca="false">Data!S375</f>
        <v>Carol</v>
      </c>
      <c r="D375" s="26" t="n">
        <f aca="false">Data!U375</f>
        <v>528</v>
      </c>
      <c r="E375" s="35" t="n">
        <f aca="false">Data!V375</f>
        <v>43035</v>
      </c>
    </row>
    <row r="376" customFormat="false" ht="14.25" hidden="false" customHeight="false" outlineLevel="0" collapsed="false">
      <c r="A376" s="34" t="n">
        <f aca="false">A375+1</f>
        <v>372</v>
      </c>
      <c r="B376" s="26" t="str">
        <f aca="false">Data!R376</f>
        <v>Books</v>
      </c>
      <c r="C376" s="26" t="str">
        <f aca="false">Data!S376</f>
        <v>Barney</v>
      </c>
      <c r="D376" s="26" t="n">
        <f aca="false">Data!U376</f>
        <v>789</v>
      </c>
      <c r="E376" s="35" t="n">
        <f aca="false">Data!V376</f>
        <v>43020</v>
      </c>
    </row>
    <row r="377" customFormat="false" ht="14.25" hidden="false" customHeight="false" outlineLevel="0" collapsed="false">
      <c r="A377" s="34" t="n">
        <f aca="false">A376+1</f>
        <v>373</v>
      </c>
      <c r="B377" s="26" t="str">
        <f aca="false">Data!R377</f>
        <v>Games</v>
      </c>
      <c r="C377" s="26" t="str">
        <f aca="false">Data!S377</f>
        <v>Alice</v>
      </c>
      <c r="D377" s="26" t="n">
        <f aca="false">Data!U377</f>
        <v>0</v>
      </c>
      <c r="E377" s="35" t="n">
        <f aca="false">Data!V377</f>
        <v>43011</v>
      </c>
    </row>
    <row r="378" customFormat="false" ht="14.25" hidden="false" customHeight="false" outlineLevel="0" collapsed="false">
      <c r="A378" s="34" t="n">
        <f aca="false">A377+1</f>
        <v>374</v>
      </c>
      <c r="B378" s="26" t="str">
        <f aca="false">Data!R378</f>
        <v>Music</v>
      </c>
      <c r="C378" s="26" t="str">
        <f aca="false">Data!S378</f>
        <v>David</v>
      </c>
      <c r="D378" s="26" t="n">
        <f aca="false">Data!U378</f>
        <v>1306</v>
      </c>
      <c r="E378" s="35" t="n">
        <f aca="false">Data!V378</f>
        <v>43019</v>
      </c>
    </row>
    <row r="379" customFormat="false" ht="14.25" hidden="false" customHeight="false" outlineLevel="0" collapsed="false">
      <c r="A379" s="34" t="n">
        <f aca="false">A378+1</f>
        <v>375</v>
      </c>
      <c r="B379" s="26" t="str">
        <f aca="false">Data!R379</f>
        <v>Clothing</v>
      </c>
      <c r="C379" s="26" t="str">
        <f aca="false">Data!S379</f>
        <v>David</v>
      </c>
      <c r="D379" s="26" t="n">
        <f aca="false">Data!U379</f>
        <v>1389</v>
      </c>
      <c r="E379" s="35" t="n">
        <f aca="false">Data!V379</f>
        <v>43039</v>
      </c>
    </row>
    <row r="380" customFormat="false" ht="14.25" hidden="false" customHeight="false" outlineLevel="0" collapsed="false">
      <c r="A380" s="34" t="n">
        <f aca="false">A379+1</f>
        <v>376</v>
      </c>
      <c r="B380" s="26" t="str">
        <f aca="false">Data!R380</f>
        <v>Clothing</v>
      </c>
      <c r="C380" s="26" t="str">
        <f aca="false">Data!S380</f>
        <v>Alice</v>
      </c>
      <c r="D380" s="26" t="n">
        <f aca="false">Data!U380</f>
        <v>1950</v>
      </c>
      <c r="E380" s="35" t="n">
        <f aca="false">Data!V380</f>
        <v>43037</v>
      </c>
    </row>
    <row r="381" customFormat="false" ht="14.25" hidden="false" customHeight="false" outlineLevel="0" collapsed="false">
      <c r="A381" s="34" t="n">
        <f aca="false">A380+1</f>
        <v>377</v>
      </c>
      <c r="B381" s="26" t="str">
        <f aca="false">Data!R381</f>
        <v>Books</v>
      </c>
      <c r="C381" s="26" t="str">
        <f aca="false">Data!S381</f>
        <v>Alice</v>
      </c>
      <c r="D381" s="26" t="n">
        <f aca="false">Data!U381</f>
        <v>735</v>
      </c>
      <c r="E381" s="35" t="n">
        <f aca="false">Data!V381</f>
        <v>43024</v>
      </c>
    </row>
    <row r="382" customFormat="false" ht="14.25" hidden="false" customHeight="false" outlineLevel="0" collapsed="false">
      <c r="A382" s="34" t="n">
        <f aca="false">A381+1</f>
        <v>378</v>
      </c>
      <c r="B382" s="26" t="str">
        <f aca="false">Data!R382</f>
        <v>Music</v>
      </c>
      <c r="C382" s="26" t="str">
        <f aca="false">Data!S382</f>
        <v>Carol</v>
      </c>
      <c r="D382" s="26" t="n">
        <f aca="false">Data!U382</f>
        <v>1368</v>
      </c>
      <c r="E382" s="35" t="n">
        <f aca="false">Data!V382</f>
        <v>43017</v>
      </c>
    </row>
    <row r="383" customFormat="false" ht="14.25" hidden="false" customHeight="false" outlineLevel="0" collapsed="false">
      <c r="A383" s="34" t="n">
        <f aca="false">A382+1</f>
        <v>379</v>
      </c>
      <c r="B383" s="26" t="str">
        <f aca="false">Data!R383</f>
        <v>Clothing</v>
      </c>
      <c r="C383" s="26" t="str">
        <f aca="false">Data!S383</f>
        <v>Alice</v>
      </c>
      <c r="D383" s="26" t="n">
        <f aca="false">Data!U383</f>
        <v>1069</v>
      </c>
      <c r="E383" s="35" t="n">
        <f aca="false">Data!V383</f>
        <v>43018</v>
      </c>
    </row>
    <row r="384" customFormat="false" ht="14.25" hidden="false" customHeight="false" outlineLevel="0" collapsed="false">
      <c r="A384" s="34" t="n">
        <f aca="false">A383+1</f>
        <v>380</v>
      </c>
      <c r="B384" s="26" t="str">
        <f aca="false">Data!R384</f>
        <v>Games</v>
      </c>
      <c r="C384" s="26" t="str">
        <f aca="false">Data!S384</f>
        <v>Barney</v>
      </c>
      <c r="D384" s="26" t="n">
        <f aca="false">Data!U384</f>
        <v>1477</v>
      </c>
      <c r="E384" s="35" t="n">
        <f aca="false">Data!V384</f>
        <v>43009</v>
      </c>
    </row>
    <row r="385" customFormat="false" ht="14.25" hidden="false" customHeight="false" outlineLevel="0" collapsed="false">
      <c r="A385" s="34" t="n">
        <f aca="false">A384+1</f>
        <v>381</v>
      </c>
      <c r="B385" s="26" t="str">
        <f aca="false">Data!R385</f>
        <v>Books</v>
      </c>
      <c r="C385" s="26" t="str">
        <f aca="false">Data!S385</f>
        <v>Barney</v>
      </c>
      <c r="D385" s="26" t="n">
        <f aca="false">Data!U385</f>
        <v>669</v>
      </c>
      <c r="E385" s="35" t="n">
        <f aca="false">Data!V385</f>
        <v>43026</v>
      </c>
    </row>
    <row r="386" customFormat="false" ht="14.25" hidden="false" customHeight="false" outlineLevel="0" collapsed="false">
      <c r="A386" s="34" t="n">
        <f aca="false">A385+1</f>
        <v>382</v>
      </c>
      <c r="B386" s="26" t="str">
        <f aca="false">Data!R386</f>
        <v>Games</v>
      </c>
      <c r="C386" s="26" t="str">
        <f aca="false">Data!S386</f>
        <v>Carol</v>
      </c>
      <c r="D386" s="26" t="n">
        <f aca="false">Data!U386</f>
        <v>2447</v>
      </c>
      <c r="E386" s="35" t="n">
        <f aca="false">Data!V386</f>
        <v>43031</v>
      </c>
    </row>
    <row r="387" customFormat="false" ht="14.25" hidden="false" customHeight="false" outlineLevel="0" collapsed="false">
      <c r="A387" s="34" t="n">
        <f aca="false">A386+1</f>
        <v>383</v>
      </c>
      <c r="B387" s="26" t="str">
        <f aca="false">Data!R387</f>
        <v>Books</v>
      </c>
      <c r="C387" s="26" t="str">
        <f aca="false">Data!S387</f>
        <v>David</v>
      </c>
      <c r="D387" s="26" t="n">
        <f aca="false">Data!U387</f>
        <v>0</v>
      </c>
      <c r="E387" s="35" t="n">
        <f aca="false">Data!V387</f>
        <v>43022</v>
      </c>
    </row>
    <row r="388" customFormat="false" ht="14.25" hidden="false" customHeight="false" outlineLevel="0" collapsed="false">
      <c r="A388" s="34" t="n">
        <f aca="false">A387+1</f>
        <v>384</v>
      </c>
      <c r="B388" s="26" t="str">
        <f aca="false">Data!R388</f>
        <v>Games</v>
      </c>
      <c r="C388" s="26" t="str">
        <f aca="false">Data!S388</f>
        <v>Barney</v>
      </c>
      <c r="D388" s="26" t="n">
        <f aca="false">Data!U388</f>
        <v>2144</v>
      </c>
      <c r="E388" s="35" t="n">
        <f aca="false">Data!V388</f>
        <v>43031</v>
      </c>
    </row>
    <row r="389" customFormat="false" ht="14.25" hidden="false" customHeight="false" outlineLevel="0" collapsed="false">
      <c r="A389" s="34" t="n">
        <f aca="false">A388+1</f>
        <v>385</v>
      </c>
      <c r="B389" s="26" t="str">
        <f aca="false">Data!R389</f>
        <v>Books</v>
      </c>
      <c r="C389" s="26" t="str">
        <f aca="false">Data!S389</f>
        <v>Alice</v>
      </c>
      <c r="D389" s="26" t="n">
        <f aca="false">Data!U389</f>
        <v>699</v>
      </c>
      <c r="E389" s="35" t="n">
        <f aca="false">Data!V389</f>
        <v>43030</v>
      </c>
    </row>
    <row r="390" customFormat="false" ht="14.25" hidden="false" customHeight="false" outlineLevel="0" collapsed="false">
      <c r="A390" s="34" t="n">
        <f aca="false">A389+1</f>
        <v>386</v>
      </c>
      <c r="B390" s="26" t="str">
        <f aca="false">Data!R390</f>
        <v>Music</v>
      </c>
      <c r="C390" s="26" t="str">
        <f aca="false">Data!S390</f>
        <v>David</v>
      </c>
      <c r="D390" s="26" t="n">
        <f aca="false">Data!U390</f>
        <v>0</v>
      </c>
      <c r="E390" s="35" t="n">
        <f aca="false">Data!V390</f>
        <v>43025</v>
      </c>
    </row>
    <row r="391" customFormat="false" ht="14.25" hidden="false" customHeight="false" outlineLevel="0" collapsed="false">
      <c r="A391" s="34" t="n">
        <f aca="false">A390+1</f>
        <v>387</v>
      </c>
      <c r="B391" s="26" t="str">
        <f aca="false">Data!R391</f>
        <v>Music</v>
      </c>
      <c r="C391" s="26" t="str">
        <f aca="false">Data!S391</f>
        <v>Barney</v>
      </c>
      <c r="D391" s="26" t="n">
        <f aca="false">Data!U391</f>
        <v>0</v>
      </c>
      <c r="E391" s="35" t="n">
        <f aca="false">Data!V391</f>
        <v>43021</v>
      </c>
    </row>
    <row r="392" customFormat="false" ht="14.25" hidden="false" customHeight="false" outlineLevel="0" collapsed="false">
      <c r="A392" s="34" t="n">
        <f aca="false">A391+1</f>
        <v>388</v>
      </c>
      <c r="B392" s="26" t="str">
        <f aca="false">Data!R392</f>
        <v>Books</v>
      </c>
      <c r="C392" s="26" t="str">
        <f aca="false">Data!S392</f>
        <v>Carol</v>
      </c>
      <c r="D392" s="26" t="n">
        <f aca="false">Data!U392</f>
        <v>825</v>
      </c>
      <c r="E392" s="35" t="n">
        <f aca="false">Data!V392</f>
        <v>43025</v>
      </c>
    </row>
    <row r="393" customFormat="false" ht="14.25" hidden="false" customHeight="false" outlineLevel="0" collapsed="false">
      <c r="A393" s="34" t="n">
        <f aca="false">A392+1</f>
        <v>389</v>
      </c>
      <c r="B393" s="26" t="str">
        <f aca="false">Data!R393</f>
        <v>Games</v>
      </c>
      <c r="C393" s="26" t="str">
        <f aca="false">Data!S393</f>
        <v>Alice</v>
      </c>
      <c r="D393" s="26" t="n">
        <f aca="false">Data!U393</f>
        <v>0</v>
      </c>
      <c r="E393" s="35" t="n">
        <f aca="false">Data!V393</f>
        <v>43015</v>
      </c>
    </row>
    <row r="394" customFormat="false" ht="14.25" hidden="false" customHeight="false" outlineLevel="0" collapsed="false">
      <c r="A394" s="34" t="n">
        <f aca="false">A393+1</f>
        <v>390</v>
      </c>
      <c r="B394" s="26" t="str">
        <f aca="false">Data!R394</f>
        <v>Games</v>
      </c>
      <c r="C394" s="26" t="str">
        <f aca="false">Data!S394</f>
        <v>David</v>
      </c>
      <c r="D394" s="26" t="n">
        <f aca="false">Data!U394</f>
        <v>1810</v>
      </c>
      <c r="E394" s="35" t="n">
        <f aca="false">Data!V394</f>
        <v>43009</v>
      </c>
    </row>
    <row r="395" customFormat="false" ht="14.25" hidden="false" customHeight="false" outlineLevel="0" collapsed="false">
      <c r="A395" s="34" t="n">
        <f aca="false">A394+1</f>
        <v>391</v>
      </c>
      <c r="B395" s="26" t="str">
        <f aca="false">Data!R395</f>
        <v>Books</v>
      </c>
      <c r="C395" s="26" t="str">
        <f aca="false">Data!S395</f>
        <v>Carol</v>
      </c>
      <c r="D395" s="26" t="n">
        <f aca="false">Data!U395</f>
        <v>686</v>
      </c>
      <c r="E395" s="35" t="n">
        <f aca="false">Data!V395</f>
        <v>43034</v>
      </c>
    </row>
    <row r="396" customFormat="false" ht="14.25" hidden="false" customHeight="false" outlineLevel="0" collapsed="false">
      <c r="A396" s="34" t="n">
        <f aca="false">A395+1</f>
        <v>392</v>
      </c>
      <c r="B396" s="26" t="str">
        <f aca="false">Data!R396</f>
        <v>Music</v>
      </c>
      <c r="C396" s="26" t="str">
        <f aca="false">Data!S396</f>
        <v>Carol</v>
      </c>
      <c r="D396" s="26" t="n">
        <f aca="false">Data!U396</f>
        <v>1025</v>
      </c>
      <c r="E396" s="35" t="n">
        <f aca="false">Data!V396</f>
        <v>43012</v>
      </c>
    </row>
    <row r="397" customFormat="false" ht="14.25" hidden="false" customHeight="false" outlineLevel="0" collapsed="false">
      <c r="A397" s="34" t="n">
        <f aca="false">A396+1</f>
        <v>393</v>
      </c>
      <c r="B397" s="26" t="str">
        <f aca="false">Data!R397</f>
        <v>Games</v>
      </c>
      <c r="C397" s="26" t="str">
        <f aca="false">Data!S397</f>
        <v>Carol</v>
      </c>
      <c r="D397" s="26" t="n">
        <f aca="false">Data!U397</f>
        <v>827</v>
      </c>
      <c r="E397" s="35" t="n">
        <f aca="false">Data!V397</f>
        <v>43010</v>
      </c>
    </row>
    <row r="398" customFormat="false" ht="14.25" hidden="false" customHeight="false" outlineLevel="0" collapsed="false">
      <c r="A398" s="34" t="n">
        <f aca="false">A397+1</f>
        <v>394</v>
      </c>
      <c r="B398" s="26" t="str">
        <f aca="false">Data!R398</f>
        <v>Books</v>
      </c>
      <c r="C398" s="26" t="str">
        <f aca="false">Data!S398</f>
        <v>David</v>
      </c>
      <c r="D398" s="26" t="n">
        <f aca="false">Data!U398</f>
        <v>0</v>
      </c>
      <c r="E398" s="35" t="n">
        <f aca="false">Data!V398</f>
        <v>43026</v>
      </c>
    </row>
    <row r="399" customFormat="false" ht="14.25" hidden="false" customHeight="false" outlineLevel="0" collapsed="false">
      <c r="A399" s="34" t="n">
        <f aca="false">A398+1</f>
        <v>395</v>
      </c>
      <c r="B399" s="26" t="str">
        <f aca="false">Data!R399</f>
        <v>Music</v>
      </c>
      <c r="C399" s="26" t="str">
        <f aca="false">Data!S399</f>
        <v>Barney</v>
      </c>
      <c r="D399" s="26" t="n">
        <f aca="false">Data!U399</f>
        <v>1291</v>
      </c>
      <c r="E399" s="35" t="n">
        <f aca="false">Data!V399</f>
        <v>43030</v>
      </c>
    </row>
    <row r="400" customFormat="false" ht="14.25" hidden="false" customHeight="false" outlineLevel="0" collapsed="false">
      <c r="A400" s="34" t="n">
        <f aca="false">A399+1</f>
        <v>396</v>
      </c>
      <c r="B400" s="26" t="str">
        <f aca="false">Data!R400</f>
        <v>Music</v>
      </c>
      <c r="C400" s="26" t="str">
        <f aca="false">Data!S400</f>
        <v>Barney</v>
      </c>
      <c r="D400" s="26" t="n">
        <f aca="false">Data!U400</f>
        <v>1294</v>
      </c>
      <c r="E400" s="35" t="n">
        <f aca="false">Data!V400</f>
        <v>43025</v>
      </c>
    </row>
    <row r="401" customFormat="false" ht="14.25" hidden="false" customHeight="false" outlineLevel="0" collapsed="false">
      <c r="A401" s="34" t="n">
        <f aca="false">A400+1</f>
        <v>397</v>
      </c>
      <c r="B401" s="26" t="str">
        <f aca="false">Data!R401</f>
        <v>Music</v>
      </c>
      <c r="C401" s="26" t="str">
        <f aca="false">Data!S401</f>
        <v>Alice</v>
      </c>
      <c r="D401" s="26" t="n">
        <f aca="false">Data!U401</f>
        <v>1098</v>
      </c>
      <c r="E401" s="35" t="n">
        <f aca="false">Data!V401</f>
        <v>43018</v>
      </c>
    </row>
    <row r="402" customFormat="false" ht="14.25" hidden="false" customHeight="false" outlineLevel="0" collapsed="false">
      <c r="A402" s="34" t="n">
        <f aca="false">A401+1</f>
        <v>398</v>
      </c>
      <c r="B402" s="26" t="str">
        <f aca="false">Data!R402</f>
        <v>Books</v>
      </c>
      <c r="C402" s="26" t="str">
        <f aca="false">Data!S402</f>
        <v>Alice</v>
      </c>
      <c r="D402" s="26" t="n">
        <f aca="false">Data!U402</f>
        <v>716</v>
      </c>
      <c r="E402" s="35" t="n">
        <f aca="false">Data!V402</f>
        <v>43012</v>
      </c>
    </row>
    <row r="403" customFormat="false" ht="14.25" hidden="false" customHeight="false" outlineLevel="0" collapsed="false">
      <c r="A403" s="34" t="n">
        <f aca="false">A402+1</f>
        <v>399</v>
      </c>
      <c r="B403" s="26" t="str">
        <f aca="false">Data!R403</f>
        <v>Clothing</v>
      </c>
      <c r="C403" s="26" t="str">
        <f aca="false">Data!S403</f>
        <v>Alice</v>
      </c>
      <c r="D403" s="26" t="n">
        <f aca="false">Data!U403</f>
        <v>0</v>
      </c>
      <c r="E403" s="35" t="n">
        <f aca="false">Data!V403</f>
        <v>43020</v>
      </c>
    </row>
    <row r="404" customFormat="false" ht="14.25" hidden="false" customHeight="false" outlineLevel="0" collapsed="false">
      <c r="A404" s="34" t="n">
        <f aca="false">A403+1</f>
        <v>400</v>
      </c>
      <c r="B404" s="26" t="str">
        <f aca="false">Data!R404</f>
        <v>Clothing</v>
      </c>
      <c r="C404" s="26" t="str">
        <f aca="false">Data!S404</f>
        <v>David</v>
      </c>
      <c r="D404" s="26" t="n">
        <f aca="false">Data!U404</f>
        <v>0</v>
      </c>
      <c r="E404" s="35" t="n">
        <f aca="false">Data!V404</f>
        <v>43027</v>
      </c>
    </row>
    <row r="405" customFormat="false" ht="14.25" hidden="false" customHeight="false" outlineLevel="0" collapsed="false">
      <c r="A405" s="34" t="n">
        <f aca="false">A404+1</f>
        <v>401</v>
      </c>
      <c r="B405" s="26" t="str">
        <f aca="false">Data!R405</f>
        <v>Clothing</v>
      </c>
      <c r="C405" s="26" t="str">
        <f aca="false">Data!S405</f>
        <v>Carol</v>
      </c>
      <c r="D405" s="26" t="n">
        <f aca="false">Data!U405</f>
        <v>988</v>
      </c>
      <c r="E405" s="35" t="n">
        <f aca="false">Data!V405</f>
        <v>43009</v>
      </c>
    </row>
    <row r="406" customFormat="false" ht="14.25" hidden="false" customHeight="false" outlineLevel="0" collapsed="false">
      <c r="A406" s="34" t="n">
        <f aca="false">A405+1</f>
        <v>402</v>
      </c>
      <c r="B406" s="26" t="str">
        <f aca="false">Data!R406</f>
        <v>Music</v>
      </c>
      <c r="C406" s="26" t="str">
        <f aca="false">Data!S406</f>
        <v>Barney</v>
      </c>
      <c r="D406" s="26" t="n">
        <f aca="false">Data!U406</f>
        <v>1140</v>
      </c>
      <c r="E406" s="35" t="n">
        <f aca="false">Data!V406</f>
        <v>43018</v>
      </c>
    </row>
    <row r="407" customFormat="false" ht="14.25" hidden="false" customHeight="false" outlineLevel="0" collapsed="false">
      <c r="A407" s="34" t="n">
        <f aca="false">A406+1</f>
        <v>403</v>
      </c>
      <c r="B407" s="26" t="str">
        <f aca="false">Data!R407</f>
        <v>Books</v>
      </c>
      <c r="C407" s="26" t="str">
        <f aca="false">Data!S407</f>
        <v>Alice</v>
      </c>
      <c r="D407" s="26" t="n">
        <f aca="false">Data!U407</f>
        <v>0</v>
      </c>
      <c r="E407" s="35" t="n">
        <f aca="false">Data!V407</f>
        <v>43027</v>
      </c>
    </row>
    <row r="408" customFormat="false" ht="14.25" hidden="false" customHeight="false" outlineLevel="0" collapsed="false">
      <c r="A408" s="34" t="n">
        <f aca="false">A407+1</f>
        <v>404</v>
      </c>
      <c r="B408" s="26" t="str">
        <f aca="false">Data!R408</f>
        <v>Music</v>
      </c>
      <c r="C408" s="26" t="str">
        <f aca="false">Data!S408</f>
        <v>David</v>
      </c>
      <c r="D408" s="26" t="n">
        <f aca="false">Data!U408</f>
        <v>0</v>
      </c>
      <c r="E408" s="35" t="n">
        <f aca="false">Data!V408</f>
        <v>43026</v>
      </c>
    </row>
    <row r="409" customFormat="false" ht="14.25" hidden="false" customHeight="false" outlineLevel="0" collapsed="false">
      <c r="A409" s="34" t="n">
        <f aca="false">A408+1</f>
        <v>405</v>
      </c>
      <c r="B409" s="26" t="str">
        <f aca="false">Data!R409</f>
        <v>Books</v>
      </c>
      <c r="C409" s="26" t="str">
        <f aca="false">Data!S409</f>
        <v>David</v>
      </c>
      <c r="D409" s="26" t="n">
        <f aca="false">Data!U409</f>
        <v>0</v>
      </c>
      <c r="E409" s="35" t="n">
        <f aca="false">Data!V409</f>
        <v>43037</v>
      </c>
    </row>
    <row r="410" customFormat="false" ht="14.25" hidden="false" customHeight="false" outlineLevel="0" collapsed="false">
      <c r="A410" s="34" t="n">
        <f aca="false">A409+1</f>
        <v>406</v>
      </c>
      <c r="B410" s="26" t="str">
        <f aca="false">Data!R410</f>
        <v>Clothing</v>
      </c>
      <c r="C410" s="26" t="str">
        <f aca="false">Data!S410</f>
        <v>Barney</v>
      </c>
      <c r="D410" s="26" t="n">
        <f aca="false">Data!U410</f>
        <v>1976</v>
      </c>
      <c r="E410" s="35" t="n">
        <f aca="false">Data!V410</f>
        <v>43036</v>
      </c>
    </row>
    <row r="411" customFormat="false" ht="14.25" hidden="false" customHeight="false" outlineLevel="0" collapsed="false">
      <c r="A411" s="34" t="n">
        <f aca="false">A410+1</f>
        <v>407</v>
      </c>
      <c r="B411" s="26" t="str">
        <f aca="false">Data!R411</f>
        <v>Clothing</v>
      </c>
      <c r="C411" s="26" t="str">
        <f aca="false">Data!S411</f>
        <v>David</v>
      </c>
      <c r="D411" s="26" t="n">
        <f aca="false">Data!U411</f>
        <v>847</v>
      </c>
      <c r="E411" s="35" t="n">
        <f aca="false">Data!V411</f>
        <v>43029</v>
      </c>
    </row>
    <row r="412" customFormat="false" ht="14.25" hidden="false" customHeight="false" outlineLevel="0" collapsed="false">
      <c r="A412" s="34" t="n">
        <f aca="false">A411+1</f>
        <v>408</v>
      </c>
      <c r="B412" s="26" t="str">
        <f aca="false">Data!R412</f>
        <v>Music</v>
      </c>
      <c r="C412" s="26" t="str">
        <f aca="false">Data!S412</f>
        <v>David</v>
      </c>
      <c r="D412" s="26" t="n">
        <f aca="false">Data!U412</f>
        <v>1203</v>
      </c>
      <c r="E412" s="35" t="n">
        <f aca="false">Data!V412</f>
        <v>43022</v>
      </c>
    </row>
    <row r="413" customFormat="false" ht="14.25" hidden="false" customHeight="false" outlineLevel="0" collapsed="false">
      <c r="A413" s="34" t="n">
        <f aca="false">A412+1</f>
        <v>409</v>
      </c>
      <c r="B413" s="26" t="str">
        <f aca="false">Data!R413</f>
        <v>Music</v>
      </c>
      <c r="C413" s="26" t="str">
        <f aca="false">Data!S413</f>
        <v>David</v>
      </c>
      <c r="D413" s="26" t="n">
        <f aca="false">Data!U413</f>
        <v>0</v>
      </c>
      <c r="E413" s="35" t="n">
        <f aca="false">Data!V413</f>
        <v>43031</v>
      </c>
    </row>
    <row r="414" customFormat="false" ht="14.25" hidden="false" customHeight="false" outlineLevel="0" collapsed="false">
      <c r="A414" s="34" t="n">
        <f aca="false">A413+1</f>
        <v>410</v>
      </c>
      <c r="B414" s="26" t="str">
        <f aca="false">Data!R414</f>
        <v>Music</v>
      </c>
      <c r="C414" s="26" t="str">
        <f aca="false">Data!S414</f>
        <v>Alice</v>
      </c>
      <c r="D414" s="26" t="n">
        <f aca="false">Data!U414</f>
        <v>1069</v>
      </c>
      <c r="E414" s="35" t="n">
        <f aca="false">Data!V414</f>
        <v>43033</v>
      </c>
    </row>
    <row r="415" customFormat="false" ht="14.25" hidden="false" customHeight="false" outlineLevel="0" collapsed="false">
      <c r="A415" s="34" t="n">
        <f aca="false">A414+1</f>
        <v>411</v>
      </c>
      <c r="B415" s="26" t="str">
        <f aca="false">Data!R415</f>
        <v>Books</v>
      </c>
      <c r="C415" s="26" t="str">
        <f aca="false">Data!S415</f>
        <v>David</v>
      </c>
      <c r="D415" s="26" t="n">
        <f aca="false">Data!U415</f>
        <v>837</v>
      </c>
      <c r="E415" s="35" t="n">
        <f aca="false">Data!V415</f>
        <v>43034</v>
      </c>
    </row>
    <row r="416" customFormat="false" ht="14.25" hidden="false" customHeight="false" outlineLevel="0" collapsed="false">
      <c r="A416" s="34" t="n">
        <f aca="false">A415+1</f>
        <v>412</v>
      </c>
      <c r="B416" s="26" t="str">
        <f aca="false">Data!R416</f>
        <v>Games</v>
      </c>
      <c r="C416" s="26" t="str">
        <f aca="false">Data!S416</f>
        <v>Carol</v>
      </c>
      <c r="D416" s="26" t="n">
        <f aca="false">Data!U416</f>
        <v>2326</v>
      </c>
      <c r="E416" s="35" t="n">
        <f aca="false">Data!V416</f>
        <v>43035</v>
      </c>
    </row>
    <row r="417" customFormat="false" ht="14.25" hidden="false" customHeight="false" outlineLevel="0" collapsed="false">
      <c r="A417" s="34" t="n">
        <f aca="false">A416+1</f>
        <v>413</v>
      </c>
      <c r="B417" s="26" t="str">
        <f aca="false">Data!R417</f>
        <v>Music</v>
      </c>
      <c r="C417" s="26" t="str">
        <f aca="false">Data!S417</f>
        <v>Carol</v>
      </c>
      <c r="D417" s="26" t="n">
        <f aca="false">Data!U417</f>
        <v>1060</v>
      </c>
      <c r="E417" s="35" t="n">
        <f aca="false">Data!V417</f>
        <v>43035</v>
      </c>
    </row>
    <row r="418" customFormat="false" ht="14.25" hidden="false" customHeight="false" outlineLevel="0" collapsed="false">
      <c r="A418" s="34" t="n">
        <f aca="false">A417+1</f>
        <v>414</v>
      </c>
      <c r="B418" s="26" t="str">
        <f aca="false">Data!R418</f>
        <v>Books</v>
      </c>
      <c r="C418" s="26" t="str">
        <f aca="false">Data!S418</f>
        <v>David</v>
      </c>
      <c r="D418" s="26" t="n">
        <f aca="false">Data!U418</f>
        <v>540</v>
      </c>
      <c r="E418" s="35" t="n">
        <f aca="false">Data!V418</f>
        <v>43013</v>
      </c>
    </row>
    <row r="419" customFormat="false" ht="14.25" hidden="false" customHeight="false" outlineLevel="0" collapsed="false">
      <c r="A419" s="34" t="n">
        <f aca="false">A418+1</f>
        <v>415</v>
      </c>
      <c r="B419" s="26" t="str">
        <f aca="false">Data!R419</f>
        <v>Music</v>
      </c>
      <c r="C419" s="26" t="str">
        <f aca="false">Data!S419</f>
        <v>Barney</v>
      </c>
      <c r="D419" s="26" t="n">
        <f aca="false">Data!U419</f>
        <v>973</v>
      </c>
      <c r="E419" s="35" t="n">
        <f aca="false">Data!V419</f>
        <v>43014</v>
      </c>
    </row>
    <row r="420" customFormat="false" ht="14.25" hidden="false" customHeight="false" outlineLevel="0" collapsed="false">
      <c r="A420" s="34" t="n">
        <f aca="false">A419+1</f>
        <v>416</v>
      </c>
      <c r="B420" s="26" t="str">
        <f aca="false">Data!R420</f>
        <v>Games</v>
      </c>
      <c r="C420" s="26" t="str">
        <f aca="false">Data!S420</f>
        <v>Alice</v>
      </c>
      <c r="D420" s="26" t="n">
        <f aca="false">Data!U420</f>
        <v>2109</v>
      </c>
      <c r="E420" s="35" t="n">
        <f aca="false">Data!V420</f>
        <v>43026</v>
      </c>
    </row>
    <row r="421" customFormat="false" ht="14.25" hidden="false" customHeight="false" outlineLevel="0" collapsed="false">
      <c r="A421" s="34" t="n">
        <f aca="false">A420+1</f>
        <v>417</v>
      </c>
      <c r="B421" s="26" t="str">
        <f aca="false">Data!R421</f>
        <v>Books</v>
      </c>
      <c r="C421" s="26" t="str">
        <f aca="false">Data!S421</f>
        <v>Carol</v>
      </c>
      <c r="D421" s="26" t="n">
        <f aca="false">Data!U421</f>
        <v>618</v>
      </c>
      <c r="E421" s="35" t="n">
        <f aca="false">Data!V421</f>
        <v>43024</v>
      </c>
    </row>
    <row r="422" customFormat="false" ht="14.25" hidden="false" customHeight="false" outlineLevel="0" collapsed="false">
      <c r="A422" s="34" t="n">
        <f aca="false">A421+1</f>
        <v>418</v>
      </c>
      <c r="B422" s="26" t="str">
        <f aca="false">Data!R422</f>
        <v>Clothing</v>
      </c>
      <c r="C422" s="26" t="str">
        <f aca="false">Data!S422</f>
        <v>Carol</v>
      </c>
      <c r="D422" s="26" t="n">
        <f aca="false">Data!U422</f>
        <v>1602</v>
      </c>
      <c r="E422" s="35" t="n">
        <f aca="false">Data!V422</f>
        <v>43024</v>
      </c>
    </row>
    <row r="423" customFormat="false" ht="14.25" hidden="false" customHeight="false" outlineLevel="0" collapsed="false">
      <c r="A423" s="34" t="n">
        <f aca="false">A422+1</f>
        <v>419</v>
      </c>
      <c r="B423" s="26" t="str">
        <f aca="false">Data!R423</f>
        <v>Games</v>
      </c>
      <c r="C423" s="26" t="str">
        <f aca="false">Data!S423</f>
        <v>Carol</v>
      </c>
      <c r="D423" s="26" t="n">
        <f aca="false">Data!U423</f>
        <v>0</v>
      </c>
      <c r="E423" s="35" t="n">
        <f aca="false">Data!V423</f>
        <v>43039</v>
      </c>
    </row>
    <row r="424" customFormat="false" ht="14.25" hidden="false" customHeight="false" outlineLevel="0" collapsed="false">
      <c r="A424" s="34" t="n">
        <f aca="false">A423+1</f>
        <v>420</v>
      </c>
      <c r="B424" s="26" t="str">
        <f aca="false">Data!R424</f>
        <v>Games</v>
      </c>
      <c r="C424" s="26" t="str">
        <f aca="false">Data!S424</f>
        <v>Carol</v>
      </c>
      <c r="D424" s="26" t="n">
        <f aca="false">Data!U424</f>
        <v>0</v>
      </c>
      <c r="E424" s="35" t="n">
        <f aca="false">Data!V424</f>
        <v>43012</v>
      </c>
    </row>
    <row r="425" customFormat="false" ht="14.25" hidden="false" customHeight="false" outlineLevel="0" collapsed="false">
      <c r="A425" s="34" t="n">
        <f aca="false">A424+1</f>
        <v>421</v>
      </c>
      <c r="B425" s="26" t="str">
        <f aca="false">Data!R425</f>
        <v>Games</v>
      </c>
      <c r="C425" s="26" t="str">
        <f aca="false">Data!S425</f>
        <v>Carol</v>
      </c>
      <c r="D425" s="26" t="n">
        <f aca="false">Data!U425</f>
        <v>1546</v>
      </c>
      <c r="E425" s="35" t="n">
        <f aca="false">Data!V425</f>
        <v>43021</v>
      </c>
    </row>
    <row r="426" customFormat="false" ht="14.25" hidden="false" customHeight="false" outlineLevel="0" collapsed="false">
      <c r="A426" s="34" t="n">
        <f aca="false">A425+1</f>
        <v>422</v>
      </c>
      <c r="B426" s="26" t="str">
        <f aca="false">Data!R426</f>
        <v>Games</v>
      </c>
      <c r="C426" s="26" t="str">
        <f aca="false">Data!S426</f>
        <v>Carol</v>
      </c>
      <c r="D426" s="26" t="n">
        <f aca="false">Data!U426</f>
        <v>2008</v>
      </c>
      <c r="E426" s="35" t="n">
        <f aca="false">Data!V426</f>
        <v>43016</v>
      </c>
    </row>
    <row r="427" customFormat="false" ht="14.25" hidden="false" customHeight="false" outlineLevel="0" collapsed="false">
      <c r="A427" s="34" t="n">
        <f aca="false">A426+1</f>
        <v>423</v>
      </c>
      <c r="B427" s="26" t="str">
        <f aca="false">Data!R427</f>
        <v>Games</v>
      </c>
      <c r="C427" s="26" t="str">
        <f aca="false">Data!S427</f>
        <v>Alice</v>
      </c>
      <c r="D427" s="26" t="n">
        <f aca="false">Data!U427</f>
        <v>2292</v>
      </c>
      <c r="E427" s="35" t="n">
        <f aca="false">Data!V427</f>
        <v>43009</v>
      </c>
    </row>
    <row r="428" customFormat="false" ht="14.25" hidden="false" customHeight="false" outlineLevel="0" collapsed="false">
      <c r="A428" s="34" t="n">
        <f aca="false">A427+1</f>
        <v>424</v>
      </c>
      <c r="B428" s="26" t="str">
        <f aca="false">Data!R428</f>
        <v>Books</v>
      </c>
      <c r="C428" s="26" t="str">
        <f aca="false">Data!S428</f>
        <v>Alice</v>
      </c>
      <c r="D428" s="26" t="n">
        <f aca="false">Data!U428</f>
        <v>952</v>
      </c>
      <c r="E428" s="35" t="n">
        <f aca="false">Data!V428</f>
        <v>43023</v>
      </c>
    </row>
    <row r="429" customFormat="false" ht="14.25" hidden="false" customHeight="false" outlineLevel="0" collapsed="false">
      <c r="A429" s="34" t="n">
        <f aca="false">A428+1</f>
        <v>425</v>
      </c>
      <c r="B429" s="26" t="str">
        <f aca="false">Data!R429</f>
        <v>Books</v>
      </c>
      <c r="C429" s="26" t="str">
        <f aca="false">Data!S429</f>
        <v>Alice</v>
      </c>
      <c r="D429" s="26" t="n">
        <f aca="false">Data!U429</f>
        <v>547</v>
      </c>
      <c r="E429" s="35" t="n">
        <f aca="false">Data!V429</f>
        <v>43010</v>
      </c>
    </row>
    <row r="430" customFormat="false" ht="14.25" hidden="false" customHeight="false" outlineLevel="0" collapsed="false">
      <c r="A430" s="34" t="n">
        <f aca="false">A429+1</f>
        <v>426</v>
      </c>
      <c r="B430" s="26" t="str">
        <f aca="false">Data!R430</f>
        <v>Clothing</v>
      </c>
      <c r="C430" s="26" t="str">
        <f aca="false">Data!S430</f>
        <v>David</v>
      </c>
      <c r="D430" s="26" t="n">
        <f aca="false">Data!U430</f>
        <v>1671</v>
      </c>
      <c r="E430" s="35" t="n">
        <f aca="false">Data!V430</f>
        <v>43011</v>
      </c>
    </row>
    <row r="431" customFormat="false" ht="14.25" hidden="false" customHeight="false" outlineLevel="0" collapsed="false">
      <c r="A431" s="34" t="n">
        <f aca="false">A430+1</f>
        <v>427</v>
      </c>
      <c r="B431" s="26" t="str">
        <f aca="false">Data!R431</f>
        <v>Music</v>
      </c>
      <c r="C431" s="26" t="str">
        <f aca="false">Data!S431</f>
        <v>Carol</v>
      </c>
      <c r="D431" s="26" t="n">
        <f aca="false">Data!U431</f>
        <v>1007</v>
      </c>
      <c r="E431" s="35" t="n">
        <f aca="false">Data!V431</f>
        <v>43010</v>
      </c>
    </row>
    <row r="432" customFormat="false" ht="14.25" hidden="false" customHeight="false" outlineLevel="0" collapsed="false">
      <c r="A432" s="34" t="n">
        <f aca="false">A431+1</f>
        <v>428</v>
      </c>
      <c r="B432" s="26" t="str">
        <f aca="false">Data!R432</f>
        <v>Music</v>
      </c>
      <c r="C432" s="26" t="str">
        <f aca="false">Data!S432</f>
        <v>Barney</v>
      </c>
      <c r="D432" s="26" t="n">
        <f aca="false">Data!U432</f>
        <v>1347</v>
      </c>
      <c r="E432" s="35" t="n">
        <f aca="false">Data!V432</f>
        <v>43026</v>
      </c>
    </row>
    <row r="433" customFormat="false" ht="14.25" hidden="false" customHeight="false" outlineLevel="0" collapsed="false">
      <c r="A433" s="34" t="n">
        <f aca="false">A432+1</f>
        <v>429</v>
      </c>
      <c r="B433" s="26" t="str">
        <f aca="false">Data!R433</f>
        <v>Clothing</v>
      </c>
      <c r="C433" s="26" t="str">
        <f aca="false">Data!S433</f>
        <v>Carol</v>
      </c>
      <c r="D433" s="26" t="n">
        <f aca="false">Data!U433</f>
        <v>0</v>
      </c>
      <c r="E433" s="35" t="n">
        <f aca="false">Data!V433</f>
        <v>43035</v>
      </c>
    </row>
    <row r="434" customFormat="false" ht="14.25" hidden="false" customHeight="false" outlineLevel="0" collapsed="false">
      <c r="A434" s="34" t="n">
        <f aca="false">A433+1</f>
        <v>430</v>
      </c>
      <c r="B434" s="26" t="str">
        <f aca="false">Data!R434</f>
        <v>Music</v>
      </c>
      <c r="C434" s="26" t="str">
        <f aca="false">Data!S434</f>
        <v>David</v>
      </c>
      <c r="D434" s="26" t="n">
        <f aca="false">Data!U434</f>
        <v>1396</v>
      </c>
      <c r="E434" s="35" t="n">
        <f aca="false">Data!V434</f>
        <v>43009</v>
      </c>
    </row>
    <row r="435" customFormat="false" ht="14.25" hidden="false" customHeight="false" outlineLevel="0" collapsed="false">
      <c r="A435" s="34" t="n">
        <f aca="false">A434+1</f>
        <v>431</v>
      </c>
      <c r="B435" s="26" t="str">
        <f aca="false">Data!R435</f>
        <v>Music</v>
      </c>
      <c r="C435" s="26" t="str">
        <f aca="false">Data!S435</f>
        <v>Alice</v>
      </c>
      <c r="D435" s="26" t="n">
        <f aca="false">Data!U435</f>
        <v>1212</v>
      </c>
      <c r="E435" s="35" t="n">
        <f aca="false">Data!V435</f>
        <v>43031</v>
      </c>
    </row>
    <row r="436" customFormat="false" ht="14.25" hidden="false" customHeight="false" outlineLevel="0" collapsed="false">
      <c r="A436" s="34" t="n">
        <f aca="false">A435+1</f>
        <v>432</v>
      </c>
      <c r="B436" s="26" t="str">
        <f aca="false">Data!R436</f>
        <v>Books</v>
      </c>
      <c r="C436" s="26" t="str">
        <f aca="false">Data!S436</f>
        <v>Alice</v>
      </c>
      <c r="D436" s="26" t="n">
        <f aca="false">Data!U436</f>
        <v>0</v>
      </c>
      <c r="E436" s="35" t="n">
        <f aca="false">Data!V436</f>
        <v>43033</v>
      </c>
    </row>
    <row r="437" customFormat="false" ht="14.25" hidden="false" customHeight="false" outlineLevel="0" collapsed="false">
      <c r="A437" s="34" t="n">
        <f aca="false">A436+1</f>
        <v>433</v>
      </c>
      <c r="B437" s="26" t="str">
        <f aca="false">Data!R437</f>
        <v>Books</v>
      </c>
      <c r="C437" s="26" t="str">
        <f aca="false">Data!S437</f>
        <v>Barney</v>
      </c>
      <c r="D437" s="26" t="n">
        <f aca="false">Data!U437</f>
        <v>726</v>
      </c>
      <c r="E437" s="35" t="n">
        <f aca="false">Data!V437</f>
        <v>43025</v>
      </c>
    </row>
    <row r="438" customFormat="false" ht="14.25" hidden="false" customHeight="false" outlineLevel="0" collapsed="false">
      <c r="A438" s="34" t="n">
        <f aca="false">A437+1</f>
        <v>434</v>
      </c>
      <c r="B438" s="26" t="str">
        <f aca="false">Data!R438</f>
        <v>Games</v>
      </c>
      <c r="C438" s="26" t="str">
        <f aca="false">Data!S438</f>
        <v>David</v>
      </c>
      <c r="D438" s="26" t="n">
        <f aca="false">Data!U438</f>
        <v>0</v>
      </c>
      <c r="E438" s="35" t="n">
        <f aca="false">Data!V438</f>
        <v>43031</v>
      </c>
    </row>
    <row r="439" customFormat="false" ht="14.25" hidden="false" customHeight="false" outlineLevel="0" collapsed="false">
      <c r="A439" s="34" t="n">
        <f aca="false">A438+1</f>
        <v>435</v>
      </c>
      <c r="B439" s="26" t="str">
        <f aca="false">Data!R439</f>
        <v>Music</v>
      </c>
      <c r="C439" s="26" t="str">
        <f aca="false">Data!S439</f>
        <v>Carol</v>
      </c>
      <c r="D439" s="26" t="n">
        <f aca="false">Data!U439</f>
        <v>0</v>
      </c>
      <c r="E439" s="35" t="n">
        <f aca="false">Data!V439</f>
        <v>43015</v>
      </c>
    </row>
    <row r="440" customFormat="false" ht="14.25" hidden="false" customHeight="false" outlineLevel="0" collapsed="false">
      <c r="A440" s="34" t="n">
        <f aca="false">A439+1</f>
        <v>436</v>
      </c>
      <c r="B440" s="26" t="str">
        <f aca="false">Data!R440</f>
        <v>Books</v>
      </c>
      <c r="C440" s="26" t="str">
        <f aca="false">Data!S440</f>
        <v>Carol</v>
      </c>
      <c r="D440" s="26" t="n">
        <f aca="false">Data!U440</f>
        <v>505</v>
      </c>
      <c r="E440" s="35" t="n">
        <f aca="false">Data!V440</f>
        <v>43030</v>
      </c>
    </row>
    <row r="441" customFormat="false" ht="14.25" hidden="false" customHeight="false" outlineLevel="0" collapsed="false">
      <c r="A441" s="34" t="n">
        <f aca="false">A440+1</f>
        <v>437</v>
      </c>
      <c r="B441" s="26" t="str">
        <f aca="false">Data!R441</f>
        <v>Music</v>
      </c>
      <c r="C441" s="26" t="str">
        <f aca="false">Data!S441</f>
        <v>Barney</v>
      </c>
      <c r="D441" s="26" t="n">
        <f aca="false">Data!U441</f>
        <v>0</v>
      </c>
      <c r="E441" s="35" t="n">
        <f aca="false">Data!V441</f>
        <v>43024</v>
      </c>
    </row>
    <row r="442" customFormat="false" ht="14.25" hidden="false" customHeight="false" outlineLevel="0" collapsed="false">
      <c r="A442" s="34" t="n">
        <f aca="false">A441+1</f>
        <v>438</v>
      </c>
      <c r="B442" s="26" t="str">
        <f aca="false">Data!R442</f>
        <v>Games</v>
      </c>
      <c r="C442" s="26" t="str">
        <f aca="false">Data!S442</f>
        <v>Alice</v>
      </c>
      <c r="D442" s="26" t="n">
        <f aca="false">Data!U442</f>
        <v>2364</v>
      </c>
      <c r="E442" s="35" t="n">
        <f aca="false">Data!V442</f>
        <v>43012</v>
      </c>
    </row>
    <row r="443" customFormat="false" ht="14.25" hidden="false" customHeight="false" outlineLevel="0" collapsed="false">
      <c r="A443" s="34" t="n">
        <f aca="false">A442+1</f>
        <v>439</v>
      </c>
      <c r="B443" s="26" t="str">
        <f aca="false">Data!R443</f>
        <v>Clothing</v>
      </c>
      <c r="C443" s="26" t="str">
        <f aca="false">Data!S443</f>
        <v>Barney</v>
      </c>
      <c r="D443" s="26" t="n">
        <f aca="false">Data!U443</f>
        <v>0</v>
      </c>
      <c r="E443" s="35" t="n">
        <f aca="false">Data!V443</f>
        <v>43021</v>
      </c>
    </row>
    <row r="444" customFormat="false" ht="14.25" hidden="false" customHeight="false" outlineLevel="0" collapsed="false">
      <c r="A444" s="34" t="n">
        <f aca="false">A443+1</f>
        <v>440</v>
      </c>
      <c r="B444" s="26" t="str">
        <f aca="false">Data!R444</f>
        <v>Games</v>
      </c>
      <c r="C444" s="26" t="str">
        <f aca="false">Data!S444</f>
        <v>David</v>
      </c>
      <c r="D444" s="26" t="n">
        <f aca="false">Data!U444</f>
        <v>1930</v>
      </c>
      <c r="E444" s="35" t="n">
        <f aca="false">Data!V444</f>
        <v>43019</v>
      </c>
    </row>
    <row r="445" customFormat="false" ht="14.25" hidden="false" customHeight="false" outlineLevel="0" collapsed="false">
      <c r="A445" s="34" t="n">
        <f aca="false">A444+1</f>
        <v>441</v>
      </c>
      <c r="B445" s="26" t="str">
        <f aca="false">Data!R445</f>
        <v>Books</v>
      </c>
      <c r="C445" s="26" t="str">
        <f aca="false">Data!S445</f>
        <v>Carol</v>
      </c>
      <c r="D445" s="26" t="n">
        <f aca="false">Data!U445</f>
        <v>529</v>
      </c>
      <c r="E445" s="35" t="n">
        <f aca="false">Data!V445</f>
        <v>43026</v>
      </c>
    </row>
    <row r="446" customFormat="false" ht="14.25" hidden="false" customHeight="false" outlineLevel="0" collapsed="false">
      <c r="A446" s="34" t="n">
        <f aca="false">A445+1</f>
        <v>442</v>
      </c>
      <c r="B446" s="26" t="str">
        <f aca="false">Data!R446</f>
        <v>Clothing</v>
      </c>
      <c r="C446" s="26" t="str">
        <f aca="false">Data!S446</f>
        <v>Alice</v>
      </c>
      <c r="D446" s="26" t="n">
        <f aca="false">Data!U446</f>
        <v>688</v>
      </c>
      <c r="E446" s="35" t="n">
        <f aca="false">Data!V446</f>
        <v>43028</v>
      </c>
    </row>
    <row r="447" customFormat="false" ht="14.25" hidden="false" customHeight="false" outlineLevel="0" collapsed="false">
      <c r="A447" s="34" t="n">
        <f aca="false">A446+1</f>
        <v>443</v>
      </c>
      <c r="B447" s="26" t="str">
        <f aca="false">Data!R447</f>
        <v>Games</v>
      </c>
      <c r="C447" s="26" t="str">
        <f aca="false">Data!S447</f>
        <v>David</v>
      </c>
      <c r="D447" s="26" t="n">
        <f aca="false">Data!U447</f>
        <v>0</v>
      </c>
      <c r="E447" s="35" t="n">
        <f aca="false">Data!V447</f>
        <v>43024</v>
      </c>
    </row>
    <row r="448" customFormat="false" ht="14.25" hidden="false" customHeight="false" outlineLevel="0" collapsed="false">
      <c r="A448" s="34" t="n">
        <f aca="false">A447+1</f>
        <v>444</v>
      </c>
      <c r="B448" s="26" t="str">
        <f aca="false">Data!R448</f>
        <v>Books</v>
      </c>
      <c r="C448" s="26" t="str">
        <f aca="false">Data!S448</f>
        <v>Carol</v>
      </c>
      <c r="D448" s="26" t="n">
        <f aca="false">Data!U448</f>
        <v>0</v>
      </c>
      <c r="E448" s="35" t="n">
        <f aca="false">Data!V448</f>
        <v>43015</v>
      </c>
    </row>
    <row r="449" customFormat="false" ht="14.25" hidden="false" customHeight="false" outlineLevel="0" collapsed="false">
      <c r="A449" s="34" t="n">
        <f aca="false">A448+1</f>
        <v>445</v>
      </c>
      <c r="B449" s="26" t="str">
        <f aca="false">Data!R449</f>
        <v>Music</v>
      </c>
      <c r="C449" s="26" t="str">
        <f aca="false">Data!S449</f>
        <v>Alice</v>
      </c>
      <c r="D449" s="26" t="n">
        <f aca="false">Data!U449</f>
        <v>1338</v>
      </c>
      <c r="E449" s="35" t="n">
        <f aca="false">Data!V449</f>
        <v>43037</v>
      </c>
    </row>
    <row r="450" customFormat="false" ht="14.25" hidden="false" customHeight="false" outlineLevel="0" collapsed="false">
      <c r="A450" s="34" t="n">
        <f aca="false">A449+1</f>
        <v>446</v>
      </c>
      <c r="B450" s="26" t="str">
        <f aca="false">Data!R450</f>
        <v>Books</v>
      </c>
      <c r="C450" s="26" t="str">
        <f aca="false">Data!S450</f>
        <v>Barney</v>
      </c>
      <c r="D450" s="26" t="n">
        <f aca="false">Data!U450</f>
        <v>695</v>
      </c>
      <c r="E450" s="35" t="n">
        <f aca="false">Data!V450</f>
        <v>43038</v>
      </c>
    </row>
    <row r="451" customFormat="false" ht="14.25" hidden="false" customHeight="false" outlineLevel="0" collapsed="false">
      <c r="A451" s="34" t="n">
        <f aca="false">A450+1</f>
        <v>447</v>
      </c>
      <c r="B451" s="26" t="str">
        <f aca="false">Data!R451</f>
        <v>Books</v>
      </c>
      <c r="C451" s="26" t="str">
        <f aca="false">Data!S451</f>
        <v>Alice</v>
      </c>
      <c r="D451" s="26" t="n">
        <f aca="false">Data!U451</f>
        <v>543</v>
      </c>
      <c r="E451" s="35" t="n">
        <f aca="false">Data!V451</f>
        <v>43036</v>
      </c>
    </row>
    <row r="452" customFormat="false" ht="14.25" hidden="false" customHeight="false" outlineLevel="0" collapsed="false">
      <c r="A452" s="34" t="n">
        <f aca="false">A451+1</f>
        <v>448</v>
      </c>
      <c r="B452" s="26" t="str">
        <f aca="false">Data!R452</f>
        <v>Music</v>
      </c>
      <c r="C452" s="26" t="str">
        <f aca="false">Data!S452</f>
        <v>Alice</v>
      </c>
      <c r="D452" s="26" t="n">
        <f aca="false">Data!U452</f>
        <v>0</v>
      </c>
      <c r="E452" s="35" t="n">
        <f aca="false">Data!V452</f>
        <v>43024</v>
      </c>
    </row>
    <row r="453" customFormat="false" ht="14.25" hidden="false" customHeight="false" outlineLevel="0" collapsed="false">
      <c r="A453" s="34" t="n">
        <f aca="false">A452+1</f>
        <v>449</v>
      </c>
      <c r="B453" s="26" t="str">
        <f aca="false">Data!R453</f>
        <v>Books</v>
      </c>
      <c r="C453" s="26" t="str">
        <f aca="false">Data!S453</f>
        <v>Alice</v>
      </c>
      <c r="D453" s="26" t="n">
        <f aca="false">Data!U453</f>
        <v>523</v>
      </c>
      <c r="E453" s="35" t="n">
        <f aca="false">Data!V453</f>
        <v>43026</v>
      </c>
    </row>
    <row r="454" customFormat="false" ht="14.25" hidden="false" customHeight="false" outlineLevel="0" collapsed="false">
      <c r="A454" s="34" t="n">
        <f aca="false">A453+1</f>
        <v>450</v>
      </c>
      <c r="B454" s="26" t="str">
        <f aca="false">Data!R454</f>
        <v>Games</v>
      </c>
      <c r="C454" s="26" t="str">
        <f aca="false">Data!S454</f>
        <v>Alice</v>
      </c>
      <c r="D454" s="26" t="n">
        <f aca="false">Data!U454</f>
        <v>1218</v>
      </c>
      <c r="E454" s="35" t="n">
        <f aca="false">Data!V454</f>
        <v>43016</v>
      </c>
    </row>
    <row r="455" customFormat="false" ht="14.25" hidden="false" customHeight="false" outlineLevel="0" collapsed="false">
      <c r="A455" s="34" t="n">
        <f aca="false">A454+1</f>
        <v>451</v>
      </c>
      <c r="B455" s="26" t="str">
        <f aca="false">Data!R455</f>
        <v>Books</v>
      </c>
      <c r="C455" s="26" t="str">
        <f aca="false">Data!S455</f>
        <v>Barney</v>
      </c>
      <c r="D455" s="26" t="n">
        <f aca="false">Data!U455</f>
        <v>838</v>
      </c>
      <c r="E455" s="35" t="n">
        <f aca="false">Data!V455</f>
        <v>43033</v>
      </c>
    </row>
    <row r="456" customFormat="false" ht="14.25" hidden="false" customHeight="false" outlineLevel="0" collapsed="false">
      <c r="A456" s="34" t="n">
        <f aca="false">A455+1</f>
        <v>452</v>
      </c>
      <c r="B456" s="26" t="str">
        <f aca="false">Data!R456</f>
        <v>Games</v>
      </c>
      <c r="C456" s="26" t="str">
        <f aca="false">Data!S456</f>
        <v>David</v>
      </c>
      <c r="D456" s="26" t="n">
        <f aca="false">Data!U456</f>
        <v>1893</v>
      </c>
      <c r="E456" s="35" t="n">
        <f aca="false">Data!V456</f>
        <v>43026</v>
      </c>
    </row>
    <row r="457" customFormat="false" ht="14.25" hidden="false" customHeight="false" outlineLevel="0" collapsed="false">
      <c r="A457" s="34" t="n">
        <f aca="false">A456+1</f>
        <v>453</v>
      </c>
      <c r="B457" s="26" t="str">
        <f aca="false">Data!R457</f>
        <v>Clothing</v>
      </c>
      <c r="C457" s="26" t="str">
        <f aca="false">Data!S457</f>
        <v>Alice</v>
      </c>
      <c r="D457" s="26" t="n">
        <f aca="false">Data!U457</f>
        <v>989</v>
      </c>
      <c r="E457" s="35" t="n">
        <f aca="false">Data!V457</f>
        <v>43017</v>
      </c>
    </row>
    <row r="458" customFormat="false" ht="14.25" hidden="false" customHeight="false" outlineLevel="0" collapsed="false">
      <c r="A458" s="34" t="n">
        <f aca="false">A457+1</f>
        <v>454</v>
      </c>
      <c r="B458" s="26" t="str">
        <f aca="false">Data!R458</f>
        <v>Music</v>
      </c>
      <c r="C458" s="26" t="str">
        <f aca="false">Data!S458</f>
        <v>Barney</v>
      </c>
      <c r="D458" s="26" t="n">
        <f aca="false">Data!U458</f>
        <v>1144</v>
      </c>
      <c r="E458" s="35" t="n">
        <f aca="false">Data!V458</f>
        <v>43022</v>
      </c>
    </row>
    <row r="459" customFormat="false" ht="14.25" hidden="false" customHeight="false" outlineLevel="0" collapsed="false">
      <c r="A459" s="34" t="n">
        <f aca="false">A458+1</f>
        <v>455</v>
      </c>
      <c r="B459" s="26" t="str">
        <f aca="false">Data!R459</f>
        <v>Clothing</v>
      </c>
      <c r="C459" s="26" t="str">
        <f aca="false">Data!S459</f>
        <v>Alice</v>
      </c>
      <c r="D459" s="26" t="n">
        <f aca="false">Data!U459</f>
        <v>1619</v>
      </c>
      <c r="E459" s="35" t="n">
        <f aca="false">Data!V459</f>
        <v>43030</v>
      </c>
    </row>
    <row r="460" customFormat="false" ht="14.25" hidden="false" customHeight="false" outlineLevel="0" collapsed="false">
      <c r="A460" s="34" t="n">
        <f aca="false">A459+1</f>
        <v>456</v>
      </c>
      <c r="B460" s="26" t="str">
        <f aca="false">Data!R460</f>
        <v>Books</v>
      </c>
      <c r="C460" s="26" t="str">
        <f aca="false">Data!S460</f>
        <v>David</v>
      </c>
      <c r="D460" s="26" t="n">
        <f aca="false">Data!U460</f>
        <v>842</v>
      </c>
      <c r="E460" s="35" t="n">
        <f aca="false">Data!V460</f>
        <v>43019</v>
      </c>
    </row>
    <row r="461" customFormat="false" ht="14.25" hidden="false" customHeight="false" outlineLevel="0" collapsed="false">
      <c r="A461" s="34" t="n">
        <f aca="false">A460+1</f>
        <v>457</v>
      </c>
      <c r="B461" s="26" t="str">
        <f aca="false">Data!R461</f>
        <v>Games</v>
      </c>
      <c r="C461" s="26" t="str">
        <f aca="false">Data!S461</f>
        <v>Alice</v>
      </c>
      <c r="D461" s="26" t="n">
        <f aca="false">Data!U461</f>
        <v>2369</v>
      </c>
      <c r="E461" s="35" t="n">
        <f aca="false">Data!V461</f>
        <v>43013</v>
      </c>
    </row>
    <row r="462" customFormat="false" ht="14.25" hidden="false" customHeight="false" outlineLevel="0" collapsed="false">
      <c r="A462" s="34" t="n">
        <f aca="false">A461+1</f>
        <v>458</v>
      </c>
      <c r="B462" s="26" t="str">
        <f aca="false">Data!R462</f>
        <v>Books</v>
      </c>
      <c r="C462" s="26" t="str">
        <f aca="false">Data!S462</f>
        <v>Barney</v>
      </c>
      <c r="D462" s="26" t="n">
        <f aca="false">Data!U462</f>
        <v>981</v>
      </c>
      <c r="E462" s="35" t="n">
        <f aca="false">Data!V462</f>
        <v>43016</v>
      </c>
    </row>
    <row r="463" customFormat="false" ht="14.25" hidden="false" customHeight="false" outlineLevel="0" collapsed="false">
      <c r="A463" s="34" t="n">
        <f aca="false">A462+1</f>
        <v>459</v>
      </c>
      <c r="B463" s="26" t="str">
        <f aca="false">Data!R463</f>
        <v>Games</v>
      </c>
      <c r="C463" s="26" t="str">
        <f aca="false">Data!S463</f>
        <v>Alice</v>
      </c>
      <c r="D463" s="26" t="n">
        <f aca="false">Data!U463</f>
        <v>2500</v>
      </c>
      <c r="E463" s="35" t="n">
        <f aca="false">Data!V463</f>
        <v>43020</v>
      </c>
    </row>
    <row r="464" customFormat="false" ht="14.25" hidden="false" customHeight="false" outlineLevel="0" collapsed="false">
      <c r="A464" s="34" t="n">
        <f aca="false">A463+1</f>
        <v>460</v>
      </c>
      <c r="B464" s="26" t="str">
        <f aca="false">Data!R464</f>
        <v>Music</v>
      </c>
      <c r="C464" s="26" t="str">
        <f aca="false">Data!S464</f>
        <v>Carol</v>
      </c>
      <c r="D464" s="26" t="n">
        <f aca="false">Data!U464</f>
        <v>951</v>
      </c>
      <c r="E464" s="35" t="n">
        <f aca="false">Data!V464</f>
        <v>43018</v>
      </c>
    </row>
    <row r="465" customFormat="false" ht="14.25" hidden="false" customHeight="false" outlineLevel="0" collapsed="false">
      <c r="A465" s="34" t="n">
        <f aca="false">A464+1</f>
        <v>461</v>
      </c>
      <c r="B465" s="26" t="str">
        <f aca="false">Data!R465</f>
        <v>Music</v>
      </c>
      <c r="C465" s="26" t="str">
        <f aca="false">Data!S465</f>
        <v>David</v>
      </c>
      <c r="D465" s="26" t="n">
        <f aca="false">Data!U465</f>
        <v>1330</v>
      </c>
      <c r="E465" s="35" t="n">
        <f aca="false">Data!V465</f>
        <v>43024</v>
      </c>
    </row>
    <row r="466" customFormat="false" ht="14.25" hidden="false" customHeight="false" outlineLevel="0" collapsed="false">
      <c r="A466" s="34" t="n">
        <f aca="false">A465+1</f>
        <v>462</v>
      </c>
      <c r="B466" s="26" t="str">
        <f aca="false">Data!R466</f>
        <v>Games</v>
      </c>
      <c r="C466" s="26" t="str">
        <f aca="false">Data!S466</f>
        <v>Carol</v>
      </c>
      <c r="D466" s="26" t="n">
        <f aca="false">Data!U466</f>
        <v>2487</v>
      </c>
      <c r="E466" s="35" t="n">
        <f aca="false">Data!V466</f>
        <v>43025</v>
      </c>
    </row>
    <row r="467" customFormat="false" ht="14.25" hidden="false" customHeight="false" outlineLevel="0" collapsed="false">
      <c r="A467" s="34" t="n">
        <f aca="false">A466+1</f>
        <v>463</v>
      </c>
      <c r="B467" s="26" t="str">
        <f aca="false">Data!R467</f>
        <v>Music</v>
      </c>
      <c r="C467" s="26" t="str">
        <f aca="false">Data!S467</f>
        <v>Carol</v>
      </c>
      <c r="D467" s="26" t="n">
        <f aca="false">Data!U467</f>
        <v>1464</v>
      </c>
      <c r="E467" s="35" t="n">
        <f aca="false">Data!V467</f>
        <v>43037</v>
      </c>
    </row>
    <row r="468" customFormat="false" ht="14.25" hidden="false" customHeight="false" outlineLevel="0" collapsed="false">
      <c r="A468" s="34" t="n">
        <f aca="false">A467+1</f>
        <v>464</v>
      </c>
      <c r="B468" s="26" t="str">
        <f aca="false">Data!R468</f>
        <v>Books</v>
      </c>
      <c r="C468" s="26" t="str">
        <f aca="false">Data!S468</f>
        <v>David</v>
      </c>
      <c r="D468" s="26" t="n">
        <f aca="false">Data!U468</f>
        <v>0</v>
      </c>
      <c r="E468" s="35" t="n">
        <f aca="false">Data!V468</f>
        <v>43009</v>
      </c>
    </row>
    <row r="469" customFormat="false" ht="14.25" hidden="false" customHeight="false" outlineLevel="0" collapsed="false">
      <c r="A469" s="34" t="n">
        <f aca="false">A468+1</f>
        <v>465</v>
      </c>
      <c r="B469" s="26" t="str">
        <f aca="false">Data!R469</f>
        <v>Games</v>
      </c>
      <c r="C469" s="26" t="str">
        <f aca="false">Data!S469</f>
        <v>Alice</v>
      </c>
      <c r="D469" s="26" t="n">
        <f aca="false">Data!U469</f>
        <v>1045</v>
      </c>
      <c r="E469" s="35" t="n">
        <f aca="false">Data!V469</f>
        <v>43021</v>
      </c>
    </row>
    <row r="470" customFormat="false" ht="14.25" hidden="false" customHeight="false" outlineLevel="0" collapsed="false">
      <c r="A470" s="34" t="n">
        <f aca="false">A469+1</f>
        <v>466</v>
      </c>
      <c r="B470" s="26" t="str">
        <f aca="false">Data!R470</f>
        <v>Games</v>
      </c>
      <c r="C470" s="26" t="str">
        <f aca="false">Data!S470</f>
        <v>Alice</v>
      </c>
      <c r="D470" s="26" t="n">
        <f aca="false">Data!U470</f>
        <v>0</v>
      </c>
      <c r="E470" s="35" t="n">
        <f aca="false">Data!V470</f>
        <v>43023</v>
      </c>
    </row>
    <row r="471" customFormat="false" ht="14.25" hidden="false" customHeight="false" outlineLevel="0" collapsed="false">
      <c r="A471" s="34" t="n">
        <f aca="false">A470+1</f>
        <v>467</v>
      </c>
      <c r="B471" s="26" t="str">
        <f aca="false">Data!R471</f>
        <v>Books</v>
      </c>
      <c r="C471" s="26" t="str">
        <f aca="false">Data!S471</f>
        <v>Alice</v>
      </c>
      <c r="D471" s="26" t="n">
        <f aca="false">Data!U471</f>
        <v>0</v>
      </c>
      <c r="E471" s="35" t="n">
        <f aca="false">Data!V471</f>
        <v>43015</v>
      </c>
    </row>
    <row r="472" customFormat="false" ht="14.25" hidden="false" customHeight="false" outlineLevel="0" collapsed="false">
      <c r="A472" s="34" t="n">
        <f aca="false">A471+1</f>
        <v>468</v>
      </c>
      <c r="B472" s="26" t="str">
        <f aca="false">Data!R472</f>
        <v>Clothing</v>
      </c>
      <c r="C472" s="26" t="str">
        <f aca="false">Data!S472</f>
        <v>David</v>
      </c>
      <c r="D472" s="26" t="n">
        <f aca="false">Data!U472</f>
        <v>0</v>
      </c>
      <c r="E472" s="35" t="n">
        <f aca="false">Data!V472</f>
        <v>43030</v>
      </c>
    </row>
    <row r="473" customFormat="false" ht="14.25" hidden="false" customHeight="false" outlineLevel="0" collapsed="false">
      <c r="A473" s="34" t="n">
        <f aca="false">A472+1</f>
        <v>469</v>
      </c>
      <c r="B473" s="26" t="str">
        <f aca="false">Data!R473</f>
        <v>Games</v>
      </c>
      <c r="C473" s="26" t="str">
        <f aca="false">Data!S473</f>
        <v>Alice</v>
      </c>
      <c r="D473" s="26" t="n">
        <f aca="false">Data!U473</f>
        <v>0</v>
      </c>
      <c r="E473" s="35" t="n">
        <f aca="false">Data!V473</f>
        <v>43010</v>
      </c>
    </row>
    <row r="474" customFormat="false" ht="14.25" hidden="false" customHeight="false" outlineLevel="0" collapsed="false">
      <c r="A474" s="34" t="n">
        <f aca="false">A473+1</f>
        <v>470</v>
      </c>
      <c r="B474" s="26" t="str">
        <f aca="false">Data!R474</f>
        <v>Clothing</v>
      </c>
      <c r="C474" s="26" t="str">
        <f aca="false">Data!S474</f>
        <v>Alice</v>
      </c>
      <c r="D474" s="26" t="n">
        <f aca="false">Data!U474</f>
        <v>1021</v>
      </c>
      <c r="E474" s="35" t="n">
        <f aca="false">Data!V474</f>
        <v>43036</v>
      </c>
    </row>
    <row r="475" customFormat="false" ht="14.25" hidden="false" customHeight="false" outlineLevel="0" collapsed="false">
      <c r="A475" s="34" t="n">
        <f aca="false">A474+1</f>
        <v>471</v>
      </c>
      <c r="B475" s="26" t="str">
        <f aca="false">Data!R475</f>
        <v>Games</v>
      </c>
      <c r="C475" s="26" t="str">
        <f aca="false">Data!S475</f>
        <v>Alice</v>
      </c>
      <c r="D475" s="26" t="n">
        <f aca="false">Data!U475</f>
        <v>1887</v>
      </c>
      <c r="E475" s="35" t="n">
        <f aca="false">Data!V475</f>
        <v>43036</v>
      </c>
    </row>
    <row r="476" customFormat="false" ht="14.25" hidden="false" customHeight="false" outlineLevel="0" collapsed="false">
      <c r="A476" s="34" t="n">
        <f aca="false">A475+1</f>
        <v>472</v>
      </c>
      <c r="B476" s="26" t="str">
        <f aca="false">Data!R476</f>
        <v>Games</v>
      </c>
      <c r="C476" s="26" t="str">
        <f aca="false">Data!S476</f>
        <v>Barney</v>
      </c>
      <c r="D476" s="26" t="n">
        <f aca="false">Data!U476</f>
        <v>1700</v>
      </c>
      <c r="E476" s="35" t="n">
        <f aca="false">Data!V476</f>
        <v>43020</v>
      </c>
    </row>
    <row r="477" customFormat="false" ht="14.25" hidden="false" customHeight="false" outlineLevel="0" collapsed="false">
      <c r="A477" s="34" t="n">
        <f aca="false">A476+1</f>
        <v>473</v>
      </c>
      <c r="B477" s="26" t="str">
        <f aca="false">Data!R477</f>
        <v>Music</v>
      </c>
      <c r="C477" s="26" t="str">
        <f aca="false">Data!S477</f>
        <v>Barney</v>
      </c>
      <c r="D477" s="26" t="n">
        <f aca="false">Data!U477</f>
        <v>1382</v>
      </c>
      <c r="E477" s="35" t="n">
        <f aca="false">Data!V477</f>
        <v>43019</v>
      </c>
    </row>
    <row r="478" customFormat="false" ht="14.25" hidden="false" customHeight="false" outlineLevel="0" collapsed="false">
      <c r="A478" s="34" t="n">
        <f aca="false">A477+1</f>
        <v>474</v>
      </c>
      <c r="B478" s="26" t="str">
        <f aca="false">Data!R478</f>
        <v>Books</v>
      </c>
      <c r="C478" s="26" t="str">
        <f aca="false">Data!S478</f>
        <v>Barney</v>
      </c>
      <c r="D478" s="26" t="n">
        <f aca="false">Data!U478</f>
        <v>808</v>
      </c>
      <c r="E478" s="35" t="n">
        <f aca="false">Data!V478</f>
        <v>43029</v>
      </c>
    </row>
    <row r="479" customFormat="false" ht="14.25" hidden="false" customHeight="false" outlineLevel="0" collapsed="false">
      <c r="A479" s="34" t="n">
        <f aca="false">A478+1</f>
        <v>475</v>
      </c>
      <c r="B479" s="26" t="str">
        <f aca="false">Data!R479</f>
        <v>Music</v>
      </c>
      <c r="C479" s="26" t="str">
        <f aca="false">Data!S479</f>
        <v>David</v>
      </c>
      <c r="D479" s="26" t="n">
        <f aca="false">Data!U479</f>
        <v>0</v>
      </c>
      <c r="E479" s="35" t="n">
        <f aca="false">Data!V479</f>
        <v>43027</v>
      </c>
    </row>
    <row r="480" customFormat="false" ht="14.25" hidden="false" customHeight="false" outlineLevel="0" collapsed="false">
      <c r="A480" s="34" t="n">
        <f aca="false">A479+1</f>
        <v>476</v>
      </c>
      <c r="B480" s="26" t="str">
        <f aca="false">Data!R480</f>
        <v>Music</v>
      </c>
      <c r="C480" s="26" t="str">
        <f aca="false">Data!S480</f>
        <v>Carol</v>
      </c>
      <c r="D480" s="26" t="n">
        <f aca="false">Data!U480</f>
        <v>1496</v>
      </c>
      <c r="E480" s="35" t="n">
        <f aca="false">Data!V480</f>
        <v>43033</v>
      </c>
    </row>
    <row r="481" customFormat="false" ht="14.25" hidden="false" customHeight="false" outlineLevel="0" collapsed="false">
      <c r="A481" s="34" t="n">
        <f aca="false">A480+1</f>
        <v>477</v>
      </c>
      <c r="B481" s="26" t="str">
        <f aca="false">Data!R481</f>
        <v>Clothing</v>
      </c>
      <c r="C481" s="26" t="str">
        <f aca="false">Data!S481</f>
        <v>Alice</v>
      </c>
      <c r="D481" s="26" t="n">
        <f aca="false">Data!U481</f>
        <v>1375</v>
      </c>
      <c r="E481" s="35" t="n">
        <f aca="false">Data!V481</f>
        <v>43019</v>
      </c>
    </row>
    <row r="482" customFormat="false" ht="14.25" hidden="false" customHeight="false" outlineLevel="0" collapsed="false">
      <c r="A482" s="34" t="n">
        <f aca="false">A481+1</f>
        <v>478</v>
      </c>
      <c r="B482" s="26" t="str">
        <f aca="false">Data!R482</f>
        <v>Books</v>
      </c>
      <c r="C482" s="26" t="str">
        <f aca="false">Data!S482</f>
        <v>Alice</v>
      </c>
      <c r="D482" s="26" t="n">
        <f aca="false">Data!U482</f>
        <v>750</v>
      </c>
      <c r="E482" s="35" t="n">
        <f aca="false">Data!V482</f>
        <v>43014</v>
      </c>
    </row>
    <row r="483" customFormat="false" ht="14.25" hidden="false" customHeight="false" outlineLevel="0" collapsed="false">
      <c r="A483" s="34" t="n">
        <f aca="false">A482+1</f>
        <v>479</v>
      </c>
      <c r="B483" s="26" t="str">
        <f aca="false">Data!R483</f>
        <v>Books</v>
      </c>
      <c r="C483" s="26" t="str">
        <f aca="false">Data!S483</f>
        <v>David</v>
      </c>
      <c r="D483" s="26" t="n">
        <f aca="false">Data!U483</f>
        <v>890</v>
      </c>
      <c r="E483" s="35" t="n">
        <f aca="false">Data!V483</f>
        <v>43010</v>
      </c>
    </row>
    <row r="484" customFormat="false" ht="14.25" hidden="false" customHeight="false" outlineLevel="0" collapsed="false">
      <c r="A484" s="34" t="n">
        <f aca="false">A483+1</f>
        <v>480</v>
      </c>
      <c r="B484" s="26" t="str">
        <f aca="false">Data!R484</f>
        <v>Music</v>
      </c>
      <c r="C484" s="26" t="str">
        <f aca="false">Data!S484</f>
        <v>David</v>
      </c>
      <c r="D484" s="26" t="n">
        <f aca="false">Data!U484</f>
        <v>1345</v>
      </c>
      <c r="E484" s="35" t="n">
        <f aca="false">Data!V484</f>
        <v>43017</v>
      </c>
    </row>
    <row r="485" customFormat="false" ht="14.25" hidden="false" customHeight="false" outlineLevel="0" collapsed="false">
      <c r="A485" s="34" t="n">
        <f aca="false">A484+1</f>
        <v>481</v>
      </c>
      <c r="B485" s="26" t="str">
        <f aca="false">Data!R485</f>
        <v>Music</v>
      </c>
      <c r="C485" s="26" t="str">
        <f aca="false">Data!S485</f>
        <v>Alice</v>
      </c>
      <c r="D485" s="26" t="n">
        <f aca="false">Data!U485</f>
        <v>0</v>
      </c>
      <c r="E485" s="35" t="n">
        <f aca="false">Data!V485</f>
        <v>43032</v>
      </c>
    </row>
    <row r="486" customFormat="false" ht="14.25" hidden="false" customHeight="false" outlineLevel="0" collapsed="false">
      <c r="A486" s="34" t="n">
        <f aca="false">A485+1</f>
        <v>482</v>
      </c>
      <c r="B486" s="26" t="str">
        <f aca="false">Data!R486</f>
        <v>Clothing</v>
      </c>
      <c r="C486" s="26" t="str">
        <f aca="false">Data!S486</f>
        <v>David</v>
      </c>
      <c r="D486" s="26" t="n">
        <f aca="false">Data!U486</f>
        <v>660</v>
      </c>
      <c r="E486" s="35" t="n">
        <f aca="false">Data!V486</f>
        <v>43038</v>
      </c>
    </row>
    <row r="487" customFormat="false" ht="14.25" hidden="false" customHeight="false" outlineLevel="0" collapsed="false">
      <c r="A487" s="34" t="n">
        <f aca="false">A486+1</f>
        <v>483</v>
      </c>
      <c r="B487" s="26" t="str">
        <f aca="false">Data!R487</f>
        <v>Clothing</v>
      </c>
      <c r="C487" s="26" t="str">
        <f aca="false">Data!S487</f>
        <v>Barney</v>
      </c>
      <c r="D487" s="26" t="n">
        <f aca="false">Data!U487</f>
        <v>0</v>
      </c>
      <c r="E487" s="35" t="n">
        <f aca="false">Data!V487</f>
        <v>43029</v>
      </c>
    </row>
    <row r="488" customFormat="false" ht="14.25" hidden="false" customHeight="false" outlineLevel="0" collapsed="false">
      <c r="A488" s="34" t="n">
        <f aca="false">A487+1</f>
        <v>484</v>
      </c>
      <c r="B488" s="26" t="str">
        <f aca="false">Data!R488</f>
        <v>Games</v>
      </c>
      <c r="C488" s="26" t="str">
        <f aca="false">Data!S488</f>
        <v>Barney</v>
      </c>
      <c r="D488" s="26" t="n">
        <f aca="false">Data!U488</f>
        <v>2380</v>
      </c>
      <c r="E488" s="35" t="n">
        <f aca="false">Data!V488</f>
        <v>43028</v>
      </c>
    </row>
    <row r="489" customFormat="false" ht="14.25" hidden="false" customHeight="false" outlineLevel="0" collapsed="false">
      <c r="A489" s="34" t="n">
        <f aca="false">A488+1</f>
        <v>485</v>
      </c>
      <c r="B489" s="26" t="str">
        <f aca="false">Data!R489</f>
        <v>Books</v>
      </c>
      <c r="C489" s="26" t="str">
        <f aca="false">Data!S489</f>
        <v>Carol</v>
      </c>
      <c r="D489" s="26" t="n">
        <f aca="false">Data!U489</f>
        <v>515</v>
      </c>
      <c r="E489" s="35" t="n">
        <f aca="false">Data!V489</f>
        <v>43033</v>
      </c>
    </row>
    <row r="490" customFormat="false" ht="14.25" hidden="false" customHeight="false" outlineLevel="0" collapsed="false">
      <c r="A490" s="34" t="n">
        <f aca="false">A489+1</f>
        <v>486</v>
      </c>
      <c r="B490" s="26" t="str">
        <f aca="false">Data!R490</f>
        <v>Clothing</v>
      </c>
      <c r="C490" s="26" t="str">
        <f aca="false">Data!S490</f>
        <v>Alice</v>
      </c>
      <c r="D490" s="26" t="n">
        <f aca="false">Data!U490</f>
        <v>650</v>
      </c>
      <c r="E490" s="35" t="n">
        <f aca="false">Data!V490</f>
        <v>43025</v>
      </c>
    </row>
    <row r="491" customFormat="false" ht="14.25" hidden="false" customHeight="false" outlineLevel="0" collapsed="false">
      <c r="A491" s="34" t="n">
        <f aca="false">A490+1</f>
        <v>487</v>
      </c>
      <c r="B491" s="26" t="str">
        <f aca="false">Data!R491</f>
        <v>Books</v>
      </c>
      <c r="C491" s="26" t="str">
        <f aca="false">Data!S491</f>
        <v>Barney</v>
      </c>
      <c r="D491" s="26" t="n">
        <f aca="false">Data!U491</f>
        <v>0</v>
      </c>
      <c r="E491" s="35" t="n">
        <f aca="false">Data!V491</f>
        <v>43017</v>
      </c>
    </row>
    <row r="492" customFormat="false" ht="14.25" hidden="false" customHeight="false" outlineLevel="0" collapsed="false">
      <c r="A492" s="34" t="n">
        <f aca="false">A491+1</f>
        <v>488</v>
      </c>
      <c r="B492" s="26" t="str">
        <f aca="false">Data!R492</f>
        <v>Clothing</v>
      </c>
      <c r="C492" s="26" t="str">
        <f aca="false">Data!S492</f>
        <v>Barney</v>
      </c>
      <c r="D492" s="26" t="n">
        <f aca="false">Data!U492</f>
        <v>1988</v>
      </c>
      <c r="E492" s="35" t="n">
        <f aca="false">Data!V492</f>
        <v>43010</v>
      </c>
    </row>
    <row r="493" customFormat="false" ht="14.25" hidden="false" customHeight="false" outlineLevel="0" collapsed="false">
      <c r="A493" s="34" t="n">
        <f aca="false">A492+1</f>
        <v>489</v>
      </c>
      <c r="B493" s="26" t="str">
        <f aca="false">Data!R493</f>
        <v>Music</v>
      </c>
      <c r="C493" s="26" t="str">
        <f aca="false">Data!S493</f>
        <v>Carol</v>
      </c>
      <c r="D493" s="26" t="n">
        <f aca="false">Data!U493</f>
        <v>0</v>
      </c>
      <c r="E493" s="35" t="n">
        <f aca="false">Data!V493</f>
        <v>43028</v>
      </c>
    </row>
    <row r="494" customFormat="false" ht="14.25" hidden="false" customHeight="false" outlineLevel="0" collapsed="false">
      <c r="A494" s="34" t="n">
        <f aca="false">A493+1</f>
        <v>490</v>
      </c>
      <c r="B494" s="26" t="str">
        <f aca="false">Data!R494</f>
        <v>Books</v>
      </c>
      <c r="C494" s="26" t="str">
        <f aca="false">Data!S494</f>
        <v>David</v>
      </c>
      <c r="D494" s="26" t="n">
        <f aca="false">Data!U494</f>
        <v>501</v>
      </c>
      <c r="E494" s="35" t="n">
        <f aca="false">Data!V494</f>
        <v>43016</v>
      </c>
    </row>
    <row r="495" customFormat="false" ht="14.25" hidden="false" customHeight="false" outlineLevel="0" collapsed="false">
      <c r="A495" s="34" t="n">
        <f aca="false">A494+1</f>
        <v>491</v>
      </c>
      <c r="B495" s="26" t="str">
        <f aca="false">Data!R495</f>
        <v>Clothing</v>
      </c>
      <c r="C495" s="26" t="str">
        <f aca="false">Data!S495</f>
        <v>Alice</v>
      </c>
      <c r="D495" s="26" t="n">
        <f aca="false">Data!U495</f>
        <v>859</v>
      </c>
      <c r="E495" s="35" t="n">
        <f aca="false">Data!V495</f>
        <v>43016</v>
      </c>
    </row>
    <row r="496" customFormat="false" ht="14.25" hidden="false" customHeight="false" outlineLevel="0" collapsed="false">
      <c r="A496" s="34" t="n">
        <f aca="false">A495+1</f>
        <v>492</v>
      </c>
      <c r="B496" s="26" t="str">
        <f aca="false">Data!R496</f>
        <v>Clothing</v>
      </c>
      <c r="C496" s="26" t="str">
        <f aca="false">Data!S496</f>
        <v>Barney</v>
      </c>
      <c r="D496" s="26" t="n">
        <f aca="false">Data!U496</f>
        <v>0</v>
      </c>
      <c r="E496" s="35" t="n">
        <f aca="false">Data!V496</f>
        <v>43022</v>
      </c>
    </row>
    <row r="497" customFormat="false" ht="14.25" hidden="false" customHeight="false" outlineLevel="0" collapsed="false">
      <c r="A497" s="34" t="n">
        <f aca="false">A496+1</f>
        <v>493</v>
      </c>
      <c r="B497" s="26" t="str">
        <f aca="false">Data!R497</f>
        <v>Books</v>
      </c>
      <c r="C497" s="26" t="str">
        <f aca="false">Data!S497</f>
        <v>Barney</v>
      </c>
      <c r="D497" s="26" t="n">
        <f aca="false">Data!U497</f>
        <v>743</v>
      </c>
      <c r="E497" s="35" t="n">
        <f aca="false">Data!V497</f>
        <v>43032</v>
      </c>
    </row>
    <row r="498" customFormat="false" ht="14.25" hidden="false" customHeight="false" outlineLevel="0" collapsed="false">
      <c r="A498" s="34" t="n">
        <f aca="false">A497+1</f>
        <v>494</v>
      </c>
      <c r="B498" s="26" t="str">
        <f aca="false">Data!R498</f>
        <v>Books</v>
      </c>
      <c r="C498" s="26" t="str">
        <f aca="false">Data!S498</f>
        <v>Alice</v>
      </c>
      <c r="D498" s="26" t="n">
        <f aca="false">Data!U498</f>
        <v>0</v>
      </c>
      <c r="E498" s="35" t="n">
        <f aca="false">Data!V498</f>
        <v>43035</v>
      </c>
    </row>
    <row r="499" customFormat="false" ht="14.25" hidden="false" customHeight="false" outlineLevel="0" collapsed="false">
      <c r="A499" s="34" t="n">
        <f aca="false">A498+1</f>
        <v>495</v>
      </c>
      <c r="B499" s="26" t="str">
        <f aca="false">Data!R499</f>
        <v>Books</v>
      </c>
      <c r="C499" s="26" t="str">
        <f aca="false">Data!S499</f>
        <v>Barney</v>
      </c>
      <c r="D499" s="26" t="n">
        <f aca="false">Data!U499</f>
        <v>0</v>
      </c>
      <c r="E499" s="35" t="n">
        <f aca="false">Data!V499</f>
        <v>43028</v>
      </c>
    </row>
    <row r="500" customFormat="false" ht="14.25" hidden="false" customHeight="false" outlineLevel="0" collapsed="false">
      <c r="A500" s="34" t="n">
        <f aca="false">A499+1</f>
        <v>496</v>
      </c>
      <c r="B500" s="26" t="str">
        <f aca="false">Data!R500</f>
        <v>Music</v>
      </c>
      <c r="C500" s="26" t="str">
        <f aca="false">Data!S500</f>
        <v>Alice</v>
      </c>
      <c r="D500" s="26" t="n">
        <f aca="false">Data!U500</f>
        <v>1010</v>
      </c>
      <c r="E500" s="35" t="n">
        <f aca="false">Data!V500</f>
        <v>43014</v>
      </c>
    </row>
    <row r="501" customFormat="false" ht="14.25" hidden="false" customHeight="false" outlineLevel="0" collapsed="false">
      <c r="A501" s="23"/>
    </row>
    <row r="502" customFormat="false" ht="14.25" hidden="false" customHeight="false" outlineLevel="0" collapsed="false">
      <c r="A502" s="23"/>
    </row>
    <row r="503" customFormat="false" ht="14.25" hidden="false" customHeight="false" outlineLevel="0" collapsed="false">
      <c r="A503" s="23"/>
    </row>
    <row r="504" customFormat="false" ht="14.25" hidden="false" customHeight="false" outlineLevel="0" collapsed="false">
      <c r="A504" s="2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2017-08-25T02:34:34Z</dcterms:created>
  <dc:creator>Mr Prashan Karunaratne</dc:creator>
  <dc:description/>
  <dc:language>en-US</dc:language>
  <cp:lastModifiedBy>Tim Keighley</cp:lastModifiedBy>
  <cp:lastPrinted>2017-11-05T04:32:04Z</cp:lastPrinted>
  <dcterms:modified xsi:type="dcterms:W3CDTF">2026-09-21T10:27:32Z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